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CACIQUE\Curso de Excel\App_Excel_For_All\Plantillas Web\"/>
    </mc:Choice>
  </mc:AlternateContent>
  <xr:revisionPtr revIDLastSave="0" documentId="13_ncr:1_{88DBE6FA-5EDE-4695-87C3-CEF1EE622C6A}" xr6:coauthVersionLast="47" xr6:coauthVersionMax="47" xr10:uidLastSave="{00000000-0000-0000-0000-000000000000}"/>
  <workbookProtection workbookAlgorithmName="SHA-512" workbookHashValue="G6oNgkEoFjWhB0f7ygXeVxsYVgbav3NfrI6XF3Q0csHaHHcaLvZnF/gvFMv43el6r3kaWk+OhAZ9Fb1ek0Yimg==" workbookSaltValue="5ecd/uP7al9cGW0jWLrLcg==" workbookSpinCount="100000" lockStructure="1"/>
  <bookViews>
    <workbookView xWindow="-120" yWindow="-120" windowWidth="24240" windowHeight="13140" firstSheet="1" activeTab="5" xr2:uid="{40C96927-80AB-4005-90C0-21FF0BC86B42}"/>
  </bookViews>
  <sheets>
    <sheet name="Hoja3" sheetId="3" state="hidden" r:id="rId1"/>
    <sheet name="- AYUDA -" sheetId="6" r:id="rId2"/>
    <sheet name="PARAMETROS" sheetId="2" state="hidden" r:id="rId3"/>
    <sheet name="LIQUIDACIÓN" sheetId="1" r:id="rId4"/>
    <sheet name="CALENDARIO" sheetId="4" r:id="rId5"/>
    <sheet name="DASHBOARD" sheetId="5" r:id="rId6"/>
    <sheet name="SUGERENCIAS" sheetId="7" r:id="rId7"/>
  </sheets>
  <externalReferences>
    <externalReference r:id="rId8"/>
  </externalReferences>
  <definedNames>
    <definedName name="enero">CALENDARIO!$G$3:$AK$100</definedName>
    <definedName name="image">[1]INICIO!$K$14</definedName>
  </definedNames>
  <calcPr calcId="191029"/>
  <pivotCaches>
    <pivotCache cacheId="2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3" i="1" l="1"/>
  <c r="M13" i="1" s="1"/>
  <c r="I13" i="1"/>
  <c r="G13" i="1"/>
  <c r="J13" i="1" s="1"/>
  <c r="E13" i="1"/>
  <c r="L12" i="1"/>
  <c r="M12" i="1" s="1"/>
  <c r="I12" i="1"/>
  <c r="G12" i="1"/>
  <c r="E12" i="1"/>
  <c r="L11" i="1"/>
  <c r="M11" i="1" s="1"/>
  <c r="I11" i="1"/>
  <c r="G11" i="1"/>
  <c r="E11" i="1"/>
  <c r="B3" i="1"/>
  <c r="J12" i="1" l="1"/>
  <c r="J11" i="1"/>
  <c r="B2" i="1"/>
  <c r="B1" i="1"/>
  <c r="E6" i="5"/>
  <c r="F6" i="5" l="1"/>
  <c r="L10" i="1"/>
  <c r="M10" i="1" s="1"/>
  <c r="I10" i="1"/>
  <c r="G10" i="1"/>
  <c r="L7" i="1"/>
  <c r="M7" i="1" s="1"/>
  <c r="L8" i="1"/>
  <c r="M8" i="1" s="1"/>
  <c r="L9" i="1"/>
  <c r="M9" i="1" s="1"/>
  <c r="H4" i="5"/>
  <c r="H6" i="5"/>
  <c r="M5" i="1" l="1"/>
  <c r="C3" i="5" s="1"/>
  <c r="H7" i="5"/>
  <c r="J10" i="1"/>
  <c r="NA1" i="4"/>
  <c r="MJ1" i="4"/>
  <c r="MH1" i="4"/>
  <c r="KY1" i="4"/>
  <c r="KE1" i="4"/>
  <c r="HY1" i="4"/>
  <c r="DW1" i="4"/>
  <c r="CT1" i="4"/>
  <c r="CS1" i="4"/>
  <c r="U1" i="4"/>
  <c r="L1" i="4"/>
  <c r="G1" i="4"/>
  <c r="C7" i="2"/>
  <c r="G9" i="1"/>
  <c r="I9" i="1"/>
  <c r="G8" i="1"/>
  <c r="I8" i="1"/>
  <c r="E7" i="1" l="1"/>
  <c r="E8" i="1"/>
  <c r="E10" i="1"/>
  <c r="E9" i="1"/>
  <c r="AW1" i="4"/>
  <c r="BM1" i="4"/>
  <c r="AO1" i="4"/>
  <c r="BE1" i="4"/>
  <c r="AQ1" i="4"/>
  <c r="AY1" i="4"/>
  <c r="BG1" i="4"/>
  <c r="BO1" i="4"/>
  <c r="AS1" i="4"/>
  <c r="BA1" i="4"/>
  <c r="BI1" i="4"/>
  <c r="BS1" i="4"/>
  <c r="AM1" i="4"/>
  <c r="AU1" i="4"/>
  <c r="BC1" i="4"/>
  <c r="BK1" i="4"/>
  <c r="AN1" i="4"/>
  <c r="AR1" i="4"/>
  <c r="AV1" i="4"/>
  <c r="AZ1" i="4"/>
  <c r="BD1" i="4"/>
  <c r="BH1" i="4"/>
  <c r="BL1" i="4"/>
  <c r="BP1" i="4"/>
  <c r="BT1" i="4"/>
  <c r="BX1" i="4"/>
  <c r="CB1" i="4"/>
  <c r="CF1" i="4"/>
  <c r="CJ1" i="4"/>
  <c r="CN1" i="4"/>
  <c r="CR1" i="4"/>
  <c r="CV1" i="4"/>
  <c r="CZ1" i="4"/>
  <c r="DD1" i="4"/>
  <c r="DH1" i="4"/>
  <c r="DL1" i="4"/>
  <c r="DP1" i="4"/>
  <c r="DT1" i="4"/>
  <c r="DX1" i="4"/>
  <c r="EB1" i="4"/>
  <c r="EF1" i="4"/>
  <c r="EJ1" i="4"/>
  <c r="EN1" i="4"/>
  <c r="ER1" i="4"/>
  <c r="EV1" i="4"/>
  <c r="EZ1" i="4"/>
  <c r="FD1" i="4"/>
  <c r="FH1" i="4"/>
  <c r="FL1" i="4"/>
  <c r="FP1" i="4"/>
  <c r="FT1" i="4"/>
  <c r="FX1" i="4"/>
  <c r="GB1" i="4"/>
  <c r="GF1" i="4"/>
  <c r="GJ1" i="4"/>
  <c r="GN1" i="4"/>
  <c r="GR1" i="4"/>
  <c r="GV1" i="4"/>
  <c r="GZ1" i="4"/>
  <c r="HD1" i="4"/>
  <c r="HH1" i="4"/>
  <c r="HL1" i="4"/>
  <c r="HP1" i="4"/>
  <c r="HT1" i="4"/>
  <c r="HX1" i="4"/>
  <c r="IB1" i="4"/>
  <c r="IF1" i="4"/>
  <c r="IJ1" i="4"/>
  <c r="IN1" i="4"/>
  <c r="IR1" i="4"/>
  <c r="IV1" i="4"/>
  <c r="IZ1" i="4"/>
  <c r="JD1" i="4"/>
  <c r="JH1" i="4"/>
  <c r="JL1" i="4"/>
  <c r="JP1" i="4"/>
  <c r="JT1" i="4"/>
  <c r="JX1" i="4"/>
  <c r="KB1" i="4"/>
  <c r="KF1" i="4"/>
  <c r="KJ1" i="4"/>
  <c r="KN1" i="4"/>
  <c r="KR1" i="4"/>
  <c r="KV1" i="4"/>
  <c r="KZ1" i="4"/>
  <c r="LD1" i="4"/>
  <c r="LH1" i="4"/>
  <c r="LL1" i="4"/>
  <c r="LP1" i="4"/>
  <c r="LT1" i="4"/>
  <c r="LX1" i="4"/>
  <c r="MB1" i="4"/>
  <c r="MF1" i="4"/>
  <c r="MN1" i="4"/>
  <c r="MR1" i="4"/>
  <c r="MV1" i="4"/>
  <c r="MZ1" i="4"/>
  <c r="ND1" i="4"/>
  <c r="BQ1" i="4"/>
  <c r="BU1" i="4"/>
  <c r="BY1" i="4"/>
  <c r="CC1" i="4"/>
  <c r="CG1" i="4"/>
  <c r="CK1" i="4"/>
  <c r="CO1" i="4"/>
  <c r="CW1" i="4"/>
  <c r="DA1" i="4"/>
  <c r="DE1" i="4"/>
  <c r="DI1" i="4"/>
  <c r="DM1" i="4"/>
  <c r="DQ1" i="4"/>
  <c r="DU1" i="4"/>
  <c r="DY1" i="4"/>
  <c r="EC1" i="4"/>
  <c r="EG1" i="4"/>
  <c r="EK1" i="4"/>
  <c r="EO1" i="4"/>
  <c r="ES1" i="4"/>
  <c r="EW1" i="4"/>
  <c r="FA1" i="4"/>
  <c r="FE1" i="4"/>
  <c r="FI1" i="4"/>
  <c r="FM1" i="4"/>
  <c r="FQ1" i="4"/>
  <c r="FU1" i="4"/>
  <c r="FY1" i="4"/>
  <c r="GC1" i="4"/>
  <c r="GG1" i="4"/>
  <c r="GK1" i="4"/>
  <c r="GO1" i="4"/>
  <c r="GS1" i="4"/>
  <c r="GW1" i="4"/>
  <c r="HA1" i="4"/>
  <c r="HE1" i="4"/>
  <c r="HI1" i="4"/>
  <c r="HM1" i="4"/>
  <c r="HQ1" i="4"/>
  <c r="HU1" i="4"/>
  <c r="IC1" i="4"/>
  <c r="IG1" i="4"/>
  <c r="IK1" i="4"/>
  <c r="IO1" i="4"/>
  <c r="IS1" i="4"/>
  <c r="IW1" i="4"/>
  <c r="JA1" i="4"/>
  <c r="JE1" i="4"/>
  <c r="JI1" i="4"/>
  <c r="JM1" i="4"/>
  <c r="JQ1" i="4"/>
  <c r="JU1" i="4"/>
  <c r="JY1" i="4"/>
  <c r="KC1" i="4"/>
  <c r="KG1" i="4"/>
  <c r="KK1" i="4"/>
  <c r="KO1" i="4"/>
  <c r="KS1" i="4"/>
  <c r="KW1" i="4"/>
  <c r="LA1" i="4"/>
  <c r="LE1" i="4"/>
  <c r="LI1" i="4"/>
  <c r="LM1" i="4"/>
  <c r="LQ1" i="4"/>
  <c r="LU1" i="4"/>
  <c r="LY1" i="4"/>
  <c r="MC1" i="4"/>
  <c r="MG1" i="4"/>
  <c r="MK1" i="4"/>
  <c r="MO1" i="4"/>
  <c r="MS1" i="4"/>
  <c r="MW1" i="4"/>
  <c r="NE1" i="4"/>
  <c r="AL1" i="4"/>
  <c r="AP1" i="4"/>
  <c r="AT1" i="4"/>
  <c r="AX1" i="4"/>
  <c r="BB1" i="4"/>
  <c r="BF1" i="4"/>
  <c r="BJ1" i="4"/>
  <c r="BN1" i="4"/>
  <c r="BR1" i="4"/>
  <c r="BV1" i="4"/>
  <c r="BZ1" i="4"/>
  <c r="CD1" i="4"/>
  <c r="CH1" i="4"/>
  <c r="CL1" i="4"/>
  <c r="CP1" i="4"/>
  <c r="CX1" i="4"/>
  <c r="DB1" i="4"/>
  <c r="DF1" i="4"/>
  <c r="DJ1" i="4"/>
  <c r="DN1" i="4"/>
  <c r="DR1" i="4"/>
  <c r="DV1" i="4"/>
  <c r="DZ1" i="4"/>
  <c r="ED1" i="4"/>
  <c r="EH1" i="4"/>
  <c r="EL1" i="4"/>
  <c r="EP1" i="4"/>
  <c r="ET1" i="4"/>
  <c r="EX1" i="4"/>
  <c r="FB1" i="4"/>
  <c r="FF1" i="4"/>
  <c r="FJ1" i="4"/>
  <c r="FN1" i="4"/>
  <c r="FR1" i="4"/>
  <c r="FV1" i="4"/>
  <c r="FZ1" i="4"/>
  <c r="GD1" i="4"/>
  <c r="GH1" i="4"/>
  <c r="GL1" i="4"/>
  <c r="GP1" i="4"/>
  <c r="GT1" i="4"/>
  <c r="GX1" i="4"/>
  <c r="HB1" i="4"/>
  <c r="HF1" i="4"/>
  <c r="HJ1" i="4"/>
  <c r="HN1" i="4"/>
  <c r="HR1" i="4"/>
  <c r="HV1" i="4"/>
  <c r="HZ1" i="4"/>
  <c r="ID1" i="4"/>
  <c r="IH1" i="4"/>
  <c r="IL1" i="4"/>
  <c r="IP1" i="4"/>
  <c r="IT1" i="4"/>
  <c r="IX1" i="4"/>
  <c r="JB1" i="4"/>
  <c r="JF1" i="4"/>
  <c r="JJ1" i="4"/>
  <c r="JN1" i="4"/>
  <c r="JR1" i="4"/>
  <c r="JV1" i="4"/>
  <c r="JZ1" i="4"/>
  <c r="KD1" i="4"/>
  <c r="KH1" i="4"/>
  <c r="KL1" i="4"/>
  <c r="KP1" i="4"/>
  <c r="KT1" i="4"/>
  <c r="KX1" i="4"/>
  <c r="LB1" i="4"/>
  <c r="LF1" i="4"/>
  <c r="LJ1" i="4"/>
  <c r="LN1" i="4"/>
  <c r="LR1" i="4"/>
  <c r="LV1" i="4"/>
  <c r="LZ1" i="4"/>
  <c r="MD1" i="4"/>
  <c r="ML1" i="4"/>
  <c r="MP1" i="4"/>
  <c r="MT1" i="4"/>
  <c r="MX1" i="4"/>
  <c r="NB1" i="4"/>
  <c r="NF1" i="4"/>
  <c r="BW1" i="4"/>
  <c r="CA1" i="4"/>
  <c r="CE1" i="4"/>
  <c r="CI1" i="4"/>
  <c r="CM1" i="4"/>
  <c r="CQ1" i="4"/>
  <c r="CU1" i="4"/>
  <c r="CY1" i="4"/>
  <c r="DC1" i="4"/>
  <c r="DG1" i="4"/>
  <c r="DK1" i="4"/>
  <c r="DO1" i="4"/>
  <c r="DS1" i="4"/>
  <c r="EA1" i="4"/>
  <c r="EE1" i="4"/>
  <c r="EI1" i="4"/>
  <c r="EM1" i="4"/>
  <c r="EQ1" i="4"/>
  <c r="EU1" i="4"/>
  <c r="EY1" i="4"/>
  <c r="FC1" i="4"/>
  <c r="FG1" i="4"/>
  <c r="FK1" i="4"/>
  <c r="FO1" i="4"/>
  <c r="FS1" i="4"/>
  <c r="FW1" i="4"/>
  <c r="GA1" i="4"/>
  <c r="GE1" i="4"/>
  <c r="GI1" i="4"/>
  <c r="GM1" i="4"/>
  <c r="GQ1" i="4"/>
  <c r="GU1" i="4"/>
  <c r="GY1" i="4"/>
  <c r="HC1" i="4"/>
  <c r="HG1" i="4"/>
  <c r="HK1" i="4"/>
  <c r="HO1" i="4"/>
  <c r="HS1" i="4"/>
  <c r="HW1" i="4"/>
  <c r="IA1" i="4"/>
  <c r="IE1" i="4"/>
  <c r="II1" i="4"/>
  <c r="IM1" i="4"/>
  <c r="IQ1" i="4"/>
  <c r="IU1" i="4"/>
  <c r="IY1" i="4"/>
  <c r="JC1" i="4"/>
  <c r="JG1" i="4"/>
  <c r="JK1" i="4"/>
  <c r="JO1" i="4"/>
  <c r="JS1" i="4"/>
  <c r="JW1" i="4"/>
  <c r="KA1" i="4"/>
  <c r="KI1" i="4"/>
  <c r="KM1" i="4"/>
  <c r="KQ1" i="4"/>
  <c r="KU1" i="4"/>
  <c r="LC1" i="4"/>
  <c r="LG1" i="4"/>
  <c r="LK1" i="4"/>
  <c r="LO1" i="4"/>
  <c r="LS1" i="4"/>
  <c r="LW1" i="4"/>
  <c r="MA1" i="4"/>
  <c r="ME1" i="4"/>
  <c r="MI1" i="4"/>
  <c r="MM1" i="4"/>
  <c r="MQ1" i="4"/>
  <c r="MU1" i="4"/>
  <c r="MY1" i="4"/>
  <c r="NC1" i="4"/>
  <c r="NG1" i="4"/>
  <c r="J1" i="4"/>
  <c r="R1" i="4"/>
  <c r="AH1" i="4"/>
  <c r="K1" i="4"/>
  <c r="O1" i="4"/>
  <c r="S1" i="4"/>
  <c r="W1" i="4"/>
  <c r="AA1" i="4"/>
  <c r="AE1" i="4"/>
  <c r="AI1" i="4"/>
  <c r="N1" i="4"/>
  <c r="Z1" i="4"/>
  <c r="H1" i="4"/>
  <c r="P1" i="4"/>
  <c r="T1" i="4"/>
  <c r="X1" i="4"/>
  <c r="AB1" i="4"/>
  <c r="AF1" i="4"/>
  <c r="AJ1" i="4"/>
  <c r="V1" i="4"/>
  <c r="AD1" i="4"/>
  <c r="I1" i="4"/>
  <c r="M1" i="4"/>
  <c r="Q1" i="4"/>
  <c r="Y1" i="4"/>
  <c r="AC1" i="4"/>
  <c r="AG1" i="4"/>
  <c r="AK1" i="4"/>
  <c r="A2" i="4" l="1"/>
  <c r="G3" i="4" s="1"/>
  <c r="H3" i="4" s="1"/>
  <c r="I3" i="4" s="1"/>
  <c r="J3" i="4" s="1"/>
  <c r="K3" i="4" s="1"/>
  <c r="L3" i="4" s="1"/>
  <c r="M3" i="4" s="1"/>
  <c r="N3" i="4" s="1"/>
  <c r="O3" i="4" s="1"/>
  <c r="P3" i="4" s="1"/>
  <c r="Q3" i="4" s="1"/>
  <c r="R3" i="4" s="1"/>
  <c r="S3" i="4" s="1"/>
  <c r="T3" i="4" s="1"/>
  <c r="U3" i="4" s="1"/>
  <c r="V3" i="4" s="1"/>
  <c r="W3" i="4" s="1"/>
  <c r="X3" i="4" s="1"/>
  <c r="Y3" i="4" s="1"/>
  <c r="Z3" i="4" s="1"/>
  <c r="AA3" i="4" s="1"/>
  <c r="AB3" i="4" s="1"/>
  <c r="AC3" i="4" s="1"/>
  <c r="AD3" i="4" s="1"/>
  <c r="AE3" i="4" s="1"/>
  <c r="AF3" i="4" s="1"/>
  <c r="AG3" i="4" s="1"/>
  <c r="AH3" i="4" s="1"/>
  <c r="AI3" i="4" s="1"/>
  <c r="AJ3" i="4" s="1"/>
  <c r="AK3" i="4" s="1"/>
  <c r="AL3" i="4" s="1"/>
  <c r="AM3" i="4" s="1"/>
  <c r="AN3" i="4" s="1"/>
  <c r="AO3" i="4" s="1"/>
  <c r="AP3" i="4" s="1"/>
  <c r="AQ3" i="4" s="1"/>
  <c r="AR3" i="4" s="1"/>
  <c r="AS3" i="4" s="1"/>
  <c r="AT3" i="4" s="1"/>
  <c r="AU3" i="4" s="1"/>
  <c r="AV3" i="4" s="1"/>
  <c r="AW3" i="4" s="1"/>
  <c r="AX3" i="4" s="1"/>
  <c r="AY3" i="4" s="1"/>
  <c r="AZ3" i="4" s="1"/>
  <c r="BA3" i="4" s="1"/>
  <c r="BB3" i="4" s="1"/>
  <c r="BC3" i="4" s="1"/>
  <c r="BD3" i="4" s="1"/>
  <c r="BE3" i="4" s="1"/>
  <c r="BF3" i="4" s="1"/>
  <c r="BG3" i="4" s="1"/>
  <c r="BH3" i="4" s="1"/>
  <c r="BI3" i="4" s="1"/>
  <c r="BJ3" i="4" s="1"/>
  <c r="BK3" i="4" s="1"/>
  <c r="BL3" i="4" s="1"/>
  <c r="BM3" i="4" s="1"/>
  <c r="BN3" i="4" s="1"/>
  <c r="BO3" i="4" s="1"/>
  <c r="BP3" i="4" s="1"/>
  <c r="BQ3" i="4" s="1"/>
  <c r="BR3" i="4" s="1"/>
  <c r="BS3" i="4" s="1"/>
  <c r="BT3" i="4" s="1"/>
  <c r="BU3" i="4" s="1"/>
  <c r="BV3" i="4" s="1"/>
  <c r="BW3" i="4" s="1"/>
  <c r="BX3" i="4" s="1"/>
  <c r="BY3" i="4" s="1"/>
  <c r="BZ3" i="4" s="1"/>
  <c r="CA3" i="4" s="1"/>
  <c r="CB3" i="4" s="1"/>
  <c r="CC3" i="4" s="1"/>
  <c r="CD3" i="4" s="1"/>
  <c r="CE3" i="4" s="1"/>
  <c r="CF3" i="4" s="1"/>
  <c r="CG3" i="4" s="1"/>
  <c r="CH3" i="4" s="1"/>
  <c r="CI3" i="4" s="1"/>
  <c r="CJ3" i="4" s="1"/>
  <c r="CK3" i="4" s="1"/>
  <c r="CL3" i="4" s="1"/>
  <c r="CM3" i="4" s="1"/>
  <c r="CN3" i="4" s="1"/>
  <c r="CO3" i="4" s="1"/>
  <c r="CP3" i="4" s="1"/>
  <c r="CQ3" i="4" s="1"/>
  <c r="CR3" i="4" s="1"/>
  <c r="CS3" i="4" s="1"/>
  <c r="CT3" i="4" s="1"/>
  <c r="CU3" i="4" s="1"/>
  <c r="CV3" i="4" s="1"/>
  <c r="CW3" i="4" s="1"/>
  <c r="CX3" i="4" s="1"/>
  <c r="CY3" i="4" s="1"/>
  <c r="CZ3" i="4" s="1"/>
  <c r="DA3" i="4" s="1"/>
  <c r="DB3" i="4" s="1"/>
  <c r="DC3" i="4" s="1"/>
  <c r="DD3" i="4" s="1"/>
  <c r="DE3" i="4" s="1"/>
  <c r="DF3" i="4" s="1"/>
  <c r="DG3" i="4" s="1"/>
  <c r="DH3" i="4" s="1"/>
  <c r="DI3" i="4" s="1"/>
  <c r="DJ3" i="4" s="1"/>
  <c r="DK3" i="4" s="1"/>
  <c r="DL3" i="4" s="1"/>
  <c r="DM3" i="4" s="1"/>
  <c r="DN3" i="4" s="1"/>
  <c r="DO3" i="4" s="1"/>
  <c r="DP3" i="4" s="1"/>
  <c r="DQ3" i="4" s="1"/>
  <c r="DR3" i="4" s="1"/>
  <c r="DS3" i="4" s="1"/>
  <c r="DT3" i="4" s="1"/>
  <c r="DU3" i="4" s="1"/>
  <c r="DV3" i="4" s="1"/>
  <c r="DW3" i="4" s="1"/>
  <c r="DX3" i="4" s="1"/>
  <c r="DY3" i="4" s="1"/>
  <c r="DZ3" i="4" s="1"/>
  <c r="EA3" i="4" s="1"/>
  <c r="EB3" i="4" s="1"/>
  <c r="EC3" i="4" s="1"/>
  <c r="ED3" i="4" s="1"/>
  <c r="EE3" i="4" s="1"/>
  <c r="EF3" i="4" s="1"/>
  <c r="EG3" i="4" s="1"/>
  <c r="EH3" i="4" s="1"/>
  <c r="EI3" i="4" s="1"/>
  <c r="EJ3" i="4" s="1"/>
  <c r="EK3" i="4" s="1"/>
  <c r="EL3" i="4" s="1"/>
  <c r="EM3" i="4" s="1"/>
  <c r="EN3" i="4" s="1"/>
  <c r="EO3" i="4" s="1"/>
  <c r="EP3" i="4" s="1"/>
  <c r="EQ3" i="4" s="1"/>
  <c r="ER3" i="4" s="1"/>
  <c r="ES3" i="4" s="1"/>
  <c r="ET3" i="4" s="1"/>
  <c r="EU3" i="4" s="1"/>
  <c r="EV3" i="4" s="1"/>
  <c r="EW3" i="4" s="1"/>
  <c r="EX3" i="4" s="1"/>
  <c r="EY3" i="4" s="1"/>
  <c r="EZ3" i="4" s="1"/>
  <c r="FA3" i="4" s="1"/>
  <c r="FB3" i="4" s="1"/>
  <c r="FC3" i="4" s="1"/>
  <c r="FD3" i="4" s="1"/>
  <c r="FE3" i="4" s="1"/>
  <c r="FF3" i="4" s="1"/>
  <c r="FG3" i="4" s="1"/>
  <c r="FH3" i="4" s="1"/>
  <c r="FI3" i="4" s="1"/>
  <c r="FJ3" i="4" s="1"/>
  <c r="FK3" i="4" s="1"/>
  <c r="FL3" i="4" s="1"/>
  <c r="FM3" i="4" s="1"/>
  <c r="FN3" i="4" s="1"/>
  <c r="FO3" i="4" s="1"/>
  <c r="FP3" i="4" s="1"/>
  <c r="FQ3" i="4" s="1"/>
  <c r="FR3" i="4" s="1"/>
  <c r="FS3" i="4" s="1"/>
  <c r="FT3" i="4" s="1"/>
  <c r="FU3" i="4" s="1"/>
  <c r="FV3" i="4" s="1"/>
  <c r="FW3" i="4" s="1"/>
  <c r="FX3" i="4" s="1"/>
  <c r="FY3" i="4" s="1"/>
  <c r="FZ3" i="4" s="1"/>
  <c r="GA3" i="4" s="1"/>
  <c r="GB3" i="4" s="1"/>
  <c r="GC3" i="4" s="1"/>
  <c r="GD3" i="4" s="1"/>
  <c r="GE3" i="4" s="1"/>
  <c r="GF3" i="4" s="1"/>
  <c r="GG3" i="4" s="1"/>
  <c r="GH3" i="4" s="1"/>
  <c r="GI3" i="4" s="1"/>
  <c r="GJ3" i="4" s="1"/>
  <c r="GK3" i="4" s="1"/>
  <c r="GL3" i="4" s="1"/>
  <c r="GM3" i="4" s="1"/>
  <c r="GN3" i="4" s="1"/>
  <c r="GO3" i="4" s="1"/>
  <c r="GP3" i="4" s="1"/>
  <c r="GQ3" i="4" s="1"/>
  <c r="GR3" i="4" s="1"/>
  <c r="GS3" i="4" s="1"/>
  <c r="GT3" i="4" s="1"/>
  <c r="GU3" i="4" s="1"/>
  <c r="GV3" i="4" s="1"/>
  <c r="GW3" i="4" s="1"/>
  <c r="GX3" i="4" s="1"/>
  <c r="GY3" i="4" s="1"/>
  <c r="GZ3" i="4" s="1"/>
  <c r="HA3" i="4" s="1"/>
  <c r="HB3" i="4" s="1"/>
  <c r="HC3" i="4" s="1"/>
  <c r="HD3" i="4" s="1"/>
  <c r="HE3" i="4" s="1"/>
  <c r="HF3" i="4" s="1"/>
  <c r="HG3" i="4" s="1"/>
  <c r="HH3" i="4" s="1"/>
  <c r="HI3" i="4" s="1"/>
  <c r="HJ3" i="4" s="1"/>
  <c r="HK3" i="4" s="1"/>
  <c r="HL3" i="4" s="1"/>
  <c r="HM3" i="4" s="1"/>
  <c r="HN3" i="4" s="1"/>
  <c r="HO3" i="4" s="1"/>
  <c r="HP3" i="4" s="1"/>
  <c r="HQ3" i="4" s="1"/>
  <c r="HR3" i="4" s="1"/>
  <c r="HS3" i="4" s="1"/>
  <c r="HT3" i="4" s="1"/>
  <c r="HU3" i="4" s="1"/>
  <c r="HV3" i="4" s="1"/>
  <c r="HW3" i="4" s="1"/>
  <c r="HX3" i="4" s="1"/>
  <c r="HY3" i="4" s="1"/>
  <c r="HZ3" i="4" s="1"/>
  <c r="IA3" i="4" s="1"/>
  <c r="IB3" i="4" s="1"/>
  <c r="IC3" i="4" s="1"/>
  <c r="ID3" i="4" s="1"/>
  <c r="IE3" i="4" s="1"/>
  <c r="IF3" i="4" s="1"/>
  <c r="IG3" i="4" s="1"/>
  <c r="IH3" i="4" s="1"/>
  <c r="II3" i="4" s="1"/>
  <c r="IJ3" i="4" s="1"/>
  <c r="IK3" i="4" s="1"/>
  <c r="IL3" i="4" s="1"/>
  <c r="IM3" i="4" s="1"/>
  <c r="IN3" i="4" s="1"/>
  <c r="IO3" i="4" s="1"/>
  <c r="IP3" i="4" s="1"/>
  <c r="IQ3" i="4" s="1"/>
  <c r="IR3" i="4" s="1"/>
  <c r="IS3" i="4" s="1"/>
  <c r="IT3" i="4" s="1"/>
  <c r="IU3" i="4" s="1"/>
  <c r="IV3" i="4" s="1"/>
  <c r="IW3" i="4" s="1"/>
  <c r="IX3" i="4" s="1"/>
  <c r="IY3" i="4" s="1"/>
  <c r="IZ3" i="4" s="1"/>
  <c r="JA3" i="4" s="1"/>
  <c r="JB3" i="4" s="1"/>
  <c r="JC3" i="4" s="1"/>
  <c r="JD3" i="4" s="1"/>
  <c r="JE3" i="4" s="1"/>
  <c r="JF3" i="4" s="1"/>
  <c r="JG3" i="4" s="1"/>
  <c r="JH3" i="4" s="1"/>
  <c r="JI3" i="4" s="1"/>
  <c r="JJ3" i="4" s="1"/>
  <c r="JK3" i="4" s="1"/>
  <c r="JL3" i="4" s="1"/>
  <c r="JM3" i="4" s="1"/>
  <c r="JN3" i="4" s="1"/>
  <c r="JO3" i="4" s="1"/>
  <c r="JP3" i="4" s="1"/>
  <c r="JQ3" i="4" s="1"/>
  <c r="JR3" i="4" s="1"/>
  <c r="JS3" i="4" s="1"/>
  <c r="JT3" i="4" s="1"/>
  <c r="JU3" i="4" s="1"/>
  <c r="JV3" i="4" s="1"/>
  <c r="JW3" i="4" s="1"/>
  <c r="JX3" i="4" s="1"/>
  <c r="JY3" i="4" s="1"/>
  <c r="JZ3" i="4" s="1"/>
  <c r="KA3" i="4" s="1"/>
  <c r="KB3" i="4" s="1"/>
  <c r="KC3" i="4" s="1"/>
  <c r="KD3" i="4" s="1"/>
  <c r="KE3" i="4" s="1"/>
  <c r="KF3" i="4" s="1"/>
  <c r="KG3" i="4" s="1"/>
  <c r="KH3" i="4" s="1"/>
  <c r="KI3" i="4" s="1"/>
  <c r="KJ3" i="4" s="1"/>
  <c r="KK3" i="4" s="1"/>
  <c r="KL3" i="4" s="1"/>
  <c r="KM3" i="4" s="1"/>
  <c r="KN3" i="4" s="1"/>
  <c r="KO3" i="4" s="1"/>
  <c r="KP3" i="4" s="1"/>
  <c r="KQ3" i="4" s="1"/>
  <c r="KR3" i="4" s="1"/>
  <c r="KS3" i="4" s="1"/>
  <c r="KT3" i="4" s="1"/>
  <c r="KU3" i="4" s="1"/>
  <c r="KV3" i="4" s="1"/>
  <c r="KW3" i="4" s="1"/>
  <c r="KX3" i="4" s="1"/>
  <c r="KY3" i="4" s="1"/>
  <c r="KZ3" i="4" s="1"/>
  <c r="LA3" i="4" s="1"/>
  <c r="LB3" i="4" s="1"/>
  <c r="LC3" i="4" s="1"/>
  <c r="LD3" i="4" s="1"/>
  <c r="LE3" i="4" s="1"/>
  <c r="LF3" i="4" s="1"/>
  <c r="LG3" i="4" s="1"/>
  <c r="LH3" i="4" s="1"/>
  <c r="LI3" i="4" s="1"/>
  <c r="LJ3" i="4" s="1"/>
  <c r="LK3" i="4" s="1"/>
  <c r="LL3" i="4" s="1"/>
  <c r="LM3" i="4" s="1"/>
  <c r="LN3" i="4" s="1"/>
  <c r="LO3" i="4" s="1"/>
  <c r="LP3" i="4" s="1"/>
  <c r="LQ3" i="4" s="1"/>
  <c r="LR3" i="4" s="1"/>
  <c r="LS3" i="4" s="1"/>
  <c r="LT3" i="4" s="1"/>
  <c r="LU3" i="4" s="1"/>
  <c r="LV3" i="4" s="1"/>
  <c r="LW3" i="4" s="1"/>
  <c r="LX3" i="4" s="1"/>
  <c r="LY3" i="4" s="1"/>
  <c r="LZ3" i="4" s="1"/>
  <c r="MA3" i="4" s="1"/>
  <c r="MB3" i="4" s="1"/>
  <c r="MC3" i="4" s="1"/>
  <c r="MD3" i="4" s="1"/>
  <c r="ME3" i="4" s="1"/>
  <c r="MF3" i="4" s="1"/>
  <c r="MG3" i="4" s="1"/>
  <c r="MH3" i="4" s="1"/>
  <c r="MI3" i="4" s="1"/>
  <c r="MJ3" i="4" s="1"/>
  <c r="MK3" i="4" s="1"/>
  <c r="ML3" i="4" s="1"/>
  <c r="MM3" i="4" s="1"/>
  <c r="MN3" i="4" s="1"/>
  <c r="MO3" i="4" s="1"/>
  <c r="MP3" i="4" s="1"/>
  <c r="MQ3" i="4" s="1"/>
  <c r="MR3" i="4" s="1"/>
  <c r="MS3" i="4" s="1"/>
  <c r="MT3" i="4" s="1"/>
  <c r="MU3" i="4" s="1"/>
  <c r="MV3" i="4" s="1"/>
  <c r="MW3" i="4" s="1"/>
  <c r="MX3" i="4" s="1"/>
  <c r="MY3" i="4" s="1"/>
  <c r="MZ3" i="4" s="1"/>
  <c r="NA3" i="4" s="1"/>
  <c r="NB3" i="4" s="1"/>
  <c r="NC3" i="4" s="1"/>
  <c r="ND3" i="4" s="1"/>
  <c r="NE3" i="4" s="1"/>
  <c r="NF3" i="4" s="1"/>
  <c r="NG3" i="4" s="1"/>
  <c r="H5" i="2"/>
  <c r="H6" i="2"/>
  <c r="H7" i="2"/>
  <c r="H8" i="2"/>
  <c r="H9" i="2"/>
  <c r="H10" i="2"/>
  <c r="H11" i="2"/>
  <c r="H12" i="2"/>
  <c r="H13" i="2"/>
  <c r="H14" i="2"/>
  <c r="H15" i="2"/>
  <c r="H16" i="2"/>
  <c r="I7" i="1"/>
  <c r="E2" i="3"/>
  <c r="E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A2" i="3"/>
  <c r="A67"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G7" i="1"/>
  <c r="C68" i="3"/>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A131" i="3" s="1"/>
  <c r="C3" i="3"/>
  <c r="C4" i="3" s="1"/>
  <c r="C5" i="3" s="1"/>
  <c r="C6" i="3" s="1"/>
  <c r="C7" i="3" s="1"/>
  <c r="C8" i="3" s="1"/>
  <c r="C9" i="3" s="1"/>
  <c r="C10" i="3" s="1"/>
  <c r="C11" i="3" s="1"/>
  <c r="C12" i="3" s="1"/>
  <c r="C13" i="3" s="1"/>
  <c r="C14" i="3" s="1"/>
  <c r="C15" i="3" s="1"/>
  <c r="C16" i="3" s="1"/>
  <c r="C17" i="3" s="1"/>
  <c r="C18" i="3" s="1"/>
  <c r="C19" i="3" s="1"/>
  <c r="C20" i="3" s="1"/>
  <c r="C21" i="3" s="1"/>
  <c r="C22" i="3" s="1"/>
  <c r="C23" i="3" s="1"/>
  <c r="C24" i="3" s="1"/>
  <c r="C25" i="3" s="1"/>
  <c r="C26" i="3" s="1"/>
  <c r="C27" i="3" s="1"/>
  <c r="C28" i="3" s="1"/>
  <c r="C29" i="3" s="1"/>
  <c r="C30" i="3" s="1"/>
  <c r="C31" i="3" s="1"/>
  <c r="C32" i="3" s="1"/>
  <c r="C33" i="3" s="1"/>
  <c r="C34" i="3" s="1"/>
  <c r="C35" i="3" s="1"/>
  <c r="C36" i="3" s="1"/>
  <c r="C37" i="3" s="1"/>
  <c r="C38" i="3" s="1"/>
  <c r="C39" i="3" s="1"/>
  <c r="C40" i="3" s="1"/>
  <c r="C41" i="3" s="1"/>
  <c r="C42" i="3" s="1"/>
  <c r="C43" i="3" s="1"/>
  <c r="C44" i="3" s="1"/>
  <c r="C45" i="3" s="1"/>
  <c r="C46" i="3" s="1"/>
  <c r="C47" i="3" s="1"/>
  <c r="C48" i="3" s="1"/>
  <c r="C49" i="3" s="1"/>
  <c r="C50" i="3" s="1"/>
  <c r="C51" i="3" s="1"/>
  <c r="C52" i="3" s="1"/>
  <c r="C53" i="3" s="1"/>
  <c r="C54" i="3" s="1"/>
  <c r="C55" i="3" s="1"/>
  <c r="C56" i="3" s="1"/>
  <c r="C57" i="3" s="1"/>
  <c r="C58" i="3" s="1"/>
  <c r="C59" i="3" s="1"/>
  <c r="C60" i="3" s="1"/>
  <c r="C61" i="3" s="1"/>
  <c r="C62" i="3" s="1"/>
  <c r="C63" i="3" s="1"/>
  <c r="C64" i="3" s="1"/>
  <c r="C65" i="3" s="1"/>
  <c r="C66" i="3" s="1"/>
  <c r="A66" i="3" s="1"/>
  <c r="J9" i="1" l="1"/>
  <c r="J8" i="1"/>
  <c r="J7" i="1"/>
  <c r="A129" i="3"/>
  <c r="A125" i="3"/>
  <c r="A121" i="3"/>
  <c r="A117" i="3"/>
  <c r="A113" i="3"/>
  <c r="A109" i="3"/>
  <c r="A105" i="3"/>
  <c r="A101" i="3"/>
  <c r="A97" i="3"/>
  <c r="A93" i="3"/>
  <c r="A89" i="3"/>
  <c r="A85" i="3"/>
  <c r="A81" i="3"/>
  <c r="A77" i="3"/>
  <c r="A73" i="3"/>
  <c r="A69" i="3"/>
  <c r="A65" i="3"/>
  <c r="A61" i="3"/>
  <c r="A57" i="3"/>
  <c r="A53" i="3"/>
  <c r="A49" i="3"/>
  <c r="A45" i="3"/>
  <c r="A41" i="3"/>
  <c r="A37" i="3"/>
  <c r="A33" i="3"/>
  <c r="A29" i="3"/>
  <c r="A25" i="3"/>
  <c r="A21" i="3"/>
  <c r="A17" i="3"/>
  <c r="A13" i="3"/>
  <c r="A9" i="3"/>
  <c r="A5" i="3"/>
  <c r="A128" i="3"/>
  <c r="A120" i="3"/>
  <c r="A116" i="3"/>
  <c r="A112" i="3"/>
  <c r="A108" i="3"/>
  <c r="A104" i="3"/>
  <c r="A100" i="3"/>
  <c r="A96" i="3"/>
  <c r="A92" i="3"/>
  <c r="A88" i="3"/>
  <c r="A84" i="3"/>
  <c r="A80" i="3"/>
  <c r="A76" i="3"/>
  <c r="A72" i="3"/>
  <c r="A68" i="3"/>
  <c r="A64" i="3"/>
  <c r="A60" i="3"/>
  <c r="A56" i="3"/>
  <c r="A52" i="3"/>
  <c r="A48" i="3"/>
  <c r="A44" i="3"/>
  <c r="A40" i="3"/>
  <c r="A36" i="3"/>
  <c r="A32" i="3"/>
  <c r="A28" i="3"/>
  <c r="A24" i="3"/>
  <c r="A20" i="3"/>
  <c r="A16" i="3"/>
  <c r="A12" i="3"/>
  <c r="A8" i="3"/>
  <c r="A4" i="3"/>
  <c r="A124" i="3"/>
  <c r="A127" i="3"/>
  <c r="A123" i="3"/>
  <c r="A119" i="3"/>
  <c r="A115" i="3"/>
  <c r="A111" i="3"/>
  <c r="A107" i="3"/>
  <c r="A103" i="3"/>
  <c r="A99" i="3"/>
  <c r="A95" i="3"/>
  <c r="A91" i="3"/>
  <c r="A87" i="3"/>
  <c r="A83" i="3"/>
  <c r="A79" i="3"/>
  <c r="A75" i="3"/>
  <c r="A71" i="3"/>
  <c r="A63" i="3"/>
  <c r="A59" i="3"/>
  <c r="A55" i="3"/>
  <c r="A51" i="3"/>
  <c r="A47" i="3"/>
  <c r="A43" i="3"/>
  <c r="A39" i="3"/>
  <c r="A35" i="3"/>
  <c r="A31" i="3"/>
  <c r="A27" i="3"/>
  <c r="A23" i="3"/>
  <c r="A19" i="3"/>
  <c r="A15" i="3"/>
  <c r="A11" i="3"/>
  <c r="A7" i="3"/>
  <c r="A3" i="3"/>
  <c r="A130" i="3"/>
  <c r="A126" i="3"/>
  <c r="A122" i="3"/>
  <c r="A118" i="3"/>
  <c r="A114" i="3"/>
  <c r="A110" i="3"/>
  <c r="A106" i="3"/>
  <c r="A102" i="3"/>
  <c r="A98" i="3"/>
  <c r="A94" i="3"/>
  <c r="A90" i="3"/>
  <c r="A86" i="3"/>
  <c r="A82" i="3"/>
  <c r="A78" i="3"/>
  <c r="A74" i="3"/>
  <c r="A70" i="3"/>
  <c r="A62" i="3"/>
  <c r="A58" i="3"/>
  <c r="A54" i="3"/>
  <c r="A50" i="3"/>
  <c r="A46" i="3"/>
  <c r="A42" i="3"/>
  <c r="A38" i="3"/>
  <c r="A34" i="3"/>
  <c r="A30" i="3"/>
  <c r="A26" i="3"/>
  <c r="A22" i="3"/>
  <c r="A18" i="3"/>
  <c r="A14" i="3"/>
  <c r="A10" i="3"/>
  <c r="A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tc={BCC226A1-08FA-4F62-9D48-948AEBC243F0}</author>
  </authors>
  <commentList>
    <comment ref="K6" authorId="0" shapeId="0" xr:uid="{BCC226A1-08FA-4F62-9D48-948AEBC243F0}">
      <text>
        <t>[Comentario encadenado]
Su versión de Excel le permite leer este comentario encadenado; sin embargo, las ediciones que se apliquen se quitarán si el archivo se abre en una versión más reciente de Excel. Más información: https://go.microsoft.com/fwlink/?linkid=870924
Comentario:
    Incluye: Salario Base  + Complementos (Aux. transporte) + Pagas extras prorrateadas</t>
      </text>
    </comment>
  </commentList>
</comments>
</file>

<file path=xl/sharedStrings.xml><?xml version="1.0" encoding="utf-8"?>
<sst xmlns="http://schemas.openxmlformats.org/spreadsheetml/2006/main" count="326" uniqueCount="91">
  <si>
    <t>Nombre</t>
  </si>
  <si>
    <t>Área</t>
  </si>
  <si>
    <t>Fecha Último Corte</t>
  </si>
  <si>
    <t>Jornada Laboral</t>
  </si>
  <si>
    <t>Parametros Generales</t>
  </si>
  <si>
    <t>Fecha Inicio Contrato</t>
  </si>
  <si>
    <t>Fecha</t>
  </si>
  <si>
    <t>Celebración</t>
  </si>
  <si>
    <t>Listado de días festivos o no laborales</t>
  </si>
  <si>
    <t>Año Nuevo</t>
  </si>
  <si>
    <t>Reyes Magos</t>
  </si>
  <si>
    <t>Jueves Santo</t>
  </si>
  <si>
    <t>Viernes Santo</t>
  </si>
  <si>
    <t>Día del Trabajo</t>
  </si>
  <si>
    <t>Asunción de la Virgen</t>
  </si>
  <si>
    <t>La Hispanidad (Fiesta Nal. de España)</t>
  </si>
  <si>
    <t>Todos los Santos</t>
  </si>
  <si>
    <t>Día de la Constitución</t>
  </si>
  <si>
    <t>Día de la Inmaculada Concepción</t>
  </si>
  <si>
    <t>Navidad</t>
  </si>
  <si>
    <t>Concepto</t>
  </si>
  <si>
    <t>Conceptos</t>
  </si>
  <si>
    <t>Festivo</t>
  </si>
  <si>
    <t>No laborales</t>
  </si>
  <si>
    <t>Fecha Presente</t>
  </si>
  <si>
    <t>Año Laborable</t>
  </si>
  <si>
    <t>Día fundación Empresa</t>
  </si>
  <si>
    <t>Jhony Escobar</t>
  </si>
  <si>
    <t>?</t>
  </si>
  <si>
    <t>Administración</t>
  </si>
  <si>
    <t>Disponible Vacaciones</t>
  </si>
  <si>
    <t>Años laborados</t>
  </si>
  <si>
    <t>Dias de Vacaciones</t>
  </si>
  <si>
    <t>País</t>
  </si>
  <si>
    <t>Colombia</t>
  </si>
  <si>
    <t>España</t>
  </si>
  <si>
    <t>México</t>
  </si>
  <si>
    <t>Antigüedad</t>
  </si>
  <si>
    <t>Concatenado</t>
  </si>
  <si>
    <t>Factor / Mes</t>
  </si>
  <si>
    <t>Fecha Final</t>
  </si>
  <si>
    <t>Fecha Inicio</t>
  </si>
  <si>
    <t>Programación</t>
  </si>
  <si>
    <t>Disponibilidad</t>
  </si>
  <si>
    <t>Tiempo Acumulado</t>
  </si>
  <si>
    <t>Días Laborables</t>
  </si>
  <si>
    <t>Empleado</t>
  </si>
  <si>
    <t>Fecha Fin</t>
  </si>
  <si>
    <t>Diego Carlos</t>
  </si>
  <si>
    <t>Juan</t>
  </si>
  <si>
    <t>Lunes - Viernes</t>
  </si>
  <si>
    <t>Lunes - Sabado</t>
  </si>
  <si>
    <t>Jornada</t>
  </si>
  <si>
    <t>Cdigo</t>
  </si>
  <si>
    <t>Código Jornada</t>
  </si>
  <si>
    <t>*</t>
  </si>
  <si>
    <t>ENERO</t>
  </si>
  <si>
    <t>Días Off</t>
  </si>
  <si>
    <t>Fines de Semana</t>
  </si>
  <si>
    <t>Días festivos</t>
  </si>
  <si>
    <t>Salario Integro Mes</t>
  </si>
  <si>
    <t>Salario Día</t>
  </si>
  <si>
    <t>Líquidación Vacaciones</t>
  </si>
  <si>
    <t>Disponible (días)</t>
  </si>
  <si>
    <t>Días Program.</t>
  </si>
  <si>
    <t>Total Disponible (días)</t>
  </si>
  <si>
    <t xml:space="preserve"> Días Program.</t>
  </si>
  <si>
    <t>Total  Días Program.</t>
  </si>
  <si>
    <t xml:space="preserve"> Saldo (días)</t>
  </si>
  <si>
    <t>Total  Saldo (días)</t>
  </si>
  <si>
    <t>(Todas)</t>
  </si>
  <si>
    <t xml:space="preserve">  %Ejec</t>
  </si>
  <si>
    <t>Total   %Ejec</t>
  </si>
  <si>
    <t>Pablo</t>
  </si>
  <si>
    <t>Compras</t>
  </si>
  <si>
    <t>Producción</t>
  </si>
  <si>
    <t>Áreas</t>
  </si>
  <si>
    <t>Comercial</t>
  </si>
  <si>
    <t>Logistica</t>
  </si>
  <si>
    <t>www.excelparatodos.com ®</t>
  </si>
  <si>
    <t>Categoría:</t>
  </si>
  <si>
    <t>Instrucciones:</t>
  </si>
  <si>
    <t>OTRAS PLANTILLAS</t>
  </si>
  <si>
    <t>Plantilla de Ausentismo Laboral y Bajas PREMIUM</t>
  </si>
  <si>
    <t>Ver Más</t>
  </si>
  <si>
    <t>Plantilla Plan de viabilidad y Evaluación Proyectos</t>
  </si>
  <si>
    <t>Plantilla Simulación de créditos PREMIUM</t>
  </si>
  <si>
    <t>Recursos Humanos, Administración</t>
  </si>
  <si>
    <t>Joga</t>
  </si>
  <si>
    <t>Car</t>
  </si>
  <si>
    <t>YO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</si>
</sst>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3" formatCode="_-* #,##0.00_-;\-* #,##0.00_-;_-* &quot;-&quot;??_-;_-@_-"/>
    <numFmt numFmtId="164" formatCode="0\ &quot;h&quot;"/>
    <numFmt numFmtId="165" formatCode="0\ &quot;días / año&quot;"/>
    <numFmt numFmtId="166" formatCode="#,##0\ &quot;meses&quot;"/>
    <numFmt numFmtId="167" formatCode="0\ &quot;Días&quot;"/>
    <numFmt numFmtId="168" formatCode="0\ &quot;Meses&quot;"/>
    <numFmt numFmtId="169" formatCode="dd/mmmm"/>
    <numFmt numFmtId="170" formatCode="dd/mmm"/>
    <numFmt numFmtId="171" formatCode="#,##0.0"/>
    <numFmt numFmtId="172" formatCode="0.0%"/>
    <numFmt numFmtId="173" formatCode="_-* #,##0.0_-;\-* #,##0.0_-;_-* &quot;-&quot;??_-;_-@_-"/>
    <numFmt numFmtId="174" formatCode="_-* #,##0.0\ _€_-;\-* #,##0.0\ _€_-;_-* &quot;-&quot;?\ _€_-;_-@_-"/>
    <numFmt numFmtId="175" formatCode="_-* #,##0_-;\-* #,##0_-;_-* &quot;-&quot;??_-;_-@_-"/>
  </numFmts>
  <fonts count="29" x14ac:knownFonts="1">
    <font>
      <sz val="11"/>
      <color theme="1"/>
      <name val="Arial"/>
      <family val="2"/>
    </font>
    <font>
      <sz val="11"/>
      <color theme="1"/>
      <name val="Arial"/>
      <family val="2"/>
    </font>
    <font>
      <b/>
      <sz val="11"/>
      <color theme="0"/>
      <name val="Arial"/>
      <family val="2"/>
    </font>
    <font>
      <b/>
      <sz val="11"/>
      <color theme="1"/>
      <name val="Arial"/>
      <family val="2"/>
    </font>
    <font>
      <b/>
      <i/>
      <sz val="11"/>
      <color theme="1"/>
      <name val="Arial"/>
      <family val="2"/>
    </font>
    <font>
      <b/>
      <sz val="11"/>
      <color rgb="FFFF0000"/>
      <name val="Arial"/>
      <family val="2"/>
    </font>
    <font>
      <b/>
      <sz val="11"/>
      <name val="Arial"/>
      <family val="2"/>
    </font>
    <font>
      <sz val="11"/>
      <color theme="0"/>
      <name val="Arial"/>
      <family val="2"/>
    </font>
    <font>
      <b/>
      <sz val="16"/>
      <color theme="1"/>
      <name val="Arial"/>
      <family val="2"/>
    </font>
    <font>
      <b/>
      <sz val="16"/>
      <color theme="8" tint="-0.499984740745262"/>
      <name val="Arial"/>
      <family val="2"/>
    </font>
    <font>
      <b/>
      <sz val="12"/>
      <color theme="1"/>
      <name val="Arial"/>
      <family val="2"/>
    </font>
    <font>
      <b/>
      <sz val="12"/>
      <color theme="0"/>
      <name val="Arial"/>
      <family val="2"/>
    </font>
    <font>
      <i/>
      <sz val="11"/>
      <color theme="4"/>
      <name val="Arial"/>
      <family val="2"/>
    </font>
    <font>
      <u/>
      <sz val="11"/>
      <color theme="10"/>
      <name val="Arial"/>
      <family val="2"/>
    </font>
    <font>
      <u/>
      <sz val="10"/>
      <color theme="10"/>
      <name val="Arial"/>
      <family val="2"/>
    </font>
    <font>
      <sz val="11"/>
      <color theme="1"/>
      <name val="Calibri"/>
      <family val="2"/>
      <scheme val="minor"/>
    </font>
    <font>
      <sz val="12"/>
      <color theme="1"/>
      <name val="Calibri"/>
      <family val="2"/>
      <scheme val="minor"/>
    </font>
    <font>
      <b/>
      <sz val="22"/>
      <color theme="1" tint="0.249977111117893"/>
      <name val="Calibri"/>
      <family val="2"/>
      <scheme val="minor"/>
    </font>
    <font>
      <sz val="22"/>
      <color theme="1" tint="0.249977111117893"/>
      <name val="Calibri"/>
      <family val="2"/>
      <scheme val="minor"/>
    </font>
    <font>
      <b/>
      <sz val="22"/>
      <color theme="2" tint="-0.499984740745262"/>
      <name val="Calibri"/>
      <family val="2"/>
      <scheme val="minor"/>
    </font>
    <font>
      <b/>
      <sz val="22"/>
      <color rgb="FFFF0000"/>
      <name val="Calibri"/>
      <family val="2"/>
      <scheme val="minor"/>
    </font>
    <font>
      <b/>
      <sz val="18"/>
      <color rgb="FFFF0000"/>
      <name val="Calibri Light"/>
      <family val="2"/>
    </font>
    <font>
      <b/>
      <sz val="16"/>
      <color theme="0"/>
      <name val="Calibri"/>
      <family val="2"/>
      <scheme val="minor"/>
    </font>
    <font>
      <b/>
      <sz val="20"/>
      <color theme="0"/>
      <name val="Calibri"/>
      <family val="2"/>
      <scheme val="minor"/>
    </font>
    <font>
      <b/>
      <sz val="16"/>
      <color theme="2" tint="-0.749992370372631"/>
      <name val="Calibri"/>
      <family val="2"/>
      <scheme val="minor"/>
    </font>
    <font>
      <u/>
      <sz val="11"/>
      <color theme="10"/>
      <name val="Calibri"/>
      <family val="2"/>
      <scheme val="minor"/>
    </font>
    <font>
      <b/>
      <sz val="14"/>
      <color theme="0"/>
      <name val="Calibri"/>
      <family val="2"/>
      <scheme val="minor"/>
    </font>
    <font>
      <sz val="11"/>
      <color theme="4" tint="-0.249977111117893"/>
      <name val="Arial"/>
      <family val="2"/>
    </font>
    <font>
      <b/>
      <sz val="11"/>
      <color theme="1"/>
      <name val="Segoe UI"/>
      <family val="2"/>
    </font>
  </fonts>
  <fills count="20">
    <fill>
      <patternFill patternType="none"/>
    </fill>
    <fill>
      <patternFill patternType="gray125"/>
    </fill>
    <fill>
      <patternFill patternType="solid">
        <fgColor theme="8" tint="0.39997558519241921"/>
        <bgColor indexed="64"/>
      </patternFill>
    </fill>
    <fill>
      <patternFill patternType="solid">
        <fgColor theme="8" tint="-0.499984740745262"/>
        <bgColor indexed="64"/>
      </patternFill>
    </fill>
    <fill>
      <patternFill patternType="solid">
        <fgColor rgb="FF31869B"/>
        <bgColor indexed="64"/>
      </patternFill>
    </fill>
    <fill>
      <patternFill patternType="solid">
        <fgColor rgb="FF408C88"/>
        <bgColor indexed="64"/>
      </patternFill>
    </fill>
    <fill>
      <patternFill patternType="solid">
        <fgColor theme="9" tint="0.39997558519241921"/>
        <bgColor indexed="64"/>
      </patternFill>
    </fill>
    <fill>
      <patternFill patternType="solid">
        <fgColor theme="7" tint="-0.249977111117893"/>
        <bgColor indexed="64"/>
      </patternFill>
    </fill>
    <fill>
      <patternFill patternType="solid">
        <fgColor theme="8"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2" tint="-0.249977111117893"/>
        <bgColor indexed="64"/>
      </patternFill>
    </fill>
    <fill>
      <patternFill patternType="solid">
        <fgColor rgb="FFFFC000"/>
        <bgColor indexed="64"/>
      </patternFill>
    </fill>
    <fill>
      <patternFill patternType="solid">
        <fgColor theme="4" tint="-0.49998474074526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rgb="FF00B050"/>
        <bgColor indexed="64"/>
      </patternFill>
    </fill>
  </fills>
  <borders count="57">
    <border>
      <left/>
      <right/>
      <top/>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style="thin">
        <color theme="0" tint="-0.24994659260841701"/>
      </right>
      <top style="thin">
        <color theme="1"/>
      </top>
      <bottom style="thin">
        <color theme="0" tint="-0.24994659260841701"/>
      </bottom>
      <diagonal/>
    </border>
    <border>
      <left style="thin">
        <color theme="0" tint="-0.24994659260841701"/>
      </left>
      <right style="thin">
        <color theme="0" tint="-0.24994659260841701"/>
      </right>
      <top style="thin">
        <color theme="1"/>
      </top>
      <bottom style="thin">
        <color theme="0" tint="-0.24994659260841701"/>
      </bottom>
      <diagonal/>
    </border>
    <border>
      <left style="thin">
        <color theme="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rgb="FFFF0000"/>
      </left>
      <right style="thin">
        <color theme="0" tint="-0.24994659260841701"/>
      </right>
      <top style="thin">
        <color rgb="FFFF0000"/>
      </top>
      <bottom style="thin">
        <color theme="0" tint="-0.24994659260841701"/>
      </bottom>
      <diagonal/>
    </border>
    <border>
      <left style="thin">
        <color theme="0" tint="-0.24994659260841701"/>
      </left>
      <right style="thin">
        <color theme="0" tint="-0.24994659260841701"/>
      </right>
      <top style="thin">
        <color rgb="FFFF0000"/>
      </top>
      <bottom style="thin">
        <color theme="0" tint="-0.24994659260841701"/>
      </bottom>
      <diagonal/>
    </border>
    <border>
      <left style="thin">
        <color rgb="FFFF0000"/>
      </left>
      <right style="thin">
        <color theme="0" tint="-0.24994659260841701"/>
      </right>
      <top style="thin">
        <color theme="0" tint="-0.24994659260841701"/>
      </top>
      <bottom style="thin">
        <color theme="0" tint="-0.24994659260841701"/>
      </bottom>
      <diagonal/>
    </border>
    <border>
      <left style="thin">
        <color rgb="FFFF0000"/>
      </left>
      <right style="thin">
        <color theme="0" tint="-0.24994659260841701"/>
      </right>
      <top style="thin">
        <color theme="0" tint="-0.24994659260841701"/>
      </top>
      <bottom style="thin">
        <color rgb="FFFF0000"/>
      </bottom>
      <diagonal/>
    </border>
    <border>
      <left style="thin">
        <color theme="0" tint="-0.24994659260841701"/>
      </left>
      <right style="thin">
        <color theme="0" tint="-0.24994659260841701"/>
      </right>
      <top style="thin">
        <color theme="0" tint="-0.24994659260841701"/>
      </top>
      <bottom style="thin">
        <color rgb="FFFF0000"/>
      </bottom>
      <diagonal/>
    </border>
    <border>
      <left style="thin">
        <color theme="0" tint="-0.24994659260841701"/>
      </left>
      <right/>
      <top style="thin">
        <color rgb="FFFF0000"/>
      </top>
      <bottom style="thin">
        <color theme="0" tint="-0.24994659260841701"/>
      </bottom>
      <diagonal/>
    </border>
    <border>
      <left style="thin">
        <color theme="0" tint="-0.24994659260841701"/>
      </left>
      <right/>
      <top style="thin">
        <color theme="0" tint="-0.24994659260841701"/>
      </top>
      <bottom style="thin">
        <color rgb="FFFF0000"/>
      </bottom>
      <diagonal/>
    </border>
    <border>
      <left style="thin">
        <color rgb="FF002060"/>
      </left>
      <right style="thin">
        <color theme="0" tint="-0.34998626667073579"/>
      </right>
      <top style="thin">
        <color rgb="FF002060"/>
      </top>
      <bottom style="thin">
        <color theme="0" tint="-0.34998626667073579"/>
      </bottom>
      <diagonal/>
    </border>
    <border>
      <left style="thin">
        <color theme="0" tint="-0.34998626667073579"/>
      </left>
      <right style="thin">
        <color theme="0" tint="-0.34998626667073579"/>
      </right>
      <top style="thin">
        <color rgb="FF002060"/>
      </top>
      <bottom style="thin">
        <color theme="0" tint="-0.34998626667073579"/>
      </bottom>
      <diagonal/>
    </border>
    <border>
      <left style="thin">
        <color rgb="FF002060"/>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002060"/>
      </left>
      <right style="thin">
        <color theme="0" tint="-0.34998626667073579"/>
      </right>
      <top style="thin">
        <color theme="0" tint="-0.34998626667073579"/>
      </top>
      <bottom style="thin">
        <color rgb="FF002060"/>
      </bottom>
      <diagonal/>
    </border>
    <border>
      <left style="thin">
        <color theme="0" tint="-0.34998626667073579"/>
      </left>
      <right style="thin">
        <color theme="0" tint="-0.34998626667073579"/>
      </right>
      <top style="thin">
        <color theme="0" tint="-0.34998626667073579"/>
      </top>
      <bottom style="thin">
        <color rgb="FF002060"/>
      </bottom>
      <diagonal/>
    </border>
    <border>
      <left style="thin">
        <color theme="0" tint="-0.34998626667073579"/>
      </left>
      <right/>
      <top style="thin">
        <color rgb="FF002060"/>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rgb="FF002060"/>
      </bottom>
      <diagonal/>
    </border>
    <border>
      <left style="medium">
        <color rgb="FF7030A0"/>
      </left>
      <right style="thin">
        <color theme="0" tint="-0.34998626667073579"/>
      </right>
      <top style="medium">
        <color rgb="FF7030A0"/>
      </top>
      <bottom style="thin">
        <color theme="0" tint="-0.34998626667073579"/>
      </bottom>
      <diagonal/>
    </border>
    <border>
      <left style="thin">
        <color theme="0" tint="-0.34998626667073579"/>
      </left>
      <right style="thin">
        <color theme="0" tint="-0.34998626667073579"/>
      </right>
      <top style="medium">
        <color rgb="FF7030A0"/>
      </top>
      <bottom style="thin">
        <color theme="0" tint="-0.34998626667073579"/>
      </bottom>
      <diagonal/>
    </border>
    <border>
      <left style="medium">
        <color rgb="FF7030A0"/>
      </left>
      <right style="thin">
        <color theme="0" tint="-0.34998626667073579"/>
      </right>
      <top style="thin">
        <color theme="0" tint="-0.34998626667073579"/>
      </top>
      <bottom style="thin">
        <color theme="0" tint="-0.34998626667073579"/>
      </bottom>
      <diagonal/>
    </border>
    <border>
      <left style="medium">
        <color rgb="FF7030A0"/>
      </left>
      <right style="thin">
        <color theme="0" tint="-0.34998626667073579"/>
      </right>
      <top style="thin">
        <color theme="0" tint="-0.34998626667073579"/>
      </top>
      <bottom style="medium">
        <color rgb="FF7030A0"/>
      </bottom>
      <diagonal/>
    </border>
    <border>
      <left style="thin">
        <color theme="0" tint="-0.34998626667073579"/>
      </left>
      <right style="thin">
        <color theme="0" tint="-0.34998626667073579"/>
      </right>
      <top style="thin">
        <color theme="0" tint="-0.34998626667073579"/>
      </top>
      <bottom style="medium">
        <color rgb="FF7030A0"/>
      </bottom>
      <diagonal/>
    </border>
    <border>
      <left style="thin">
        <color theme="0" tint="-0.34998626667073579"/>
      </left>
      <right/>
      <top style="medium">
        <color rgb="FF7030A0"/>
      </top>
      <bottom style="thin">
        <color theme="0" tint="-0.34998626667073579"/>
      </bottom>
      <diagonal/>
    </border>
    <border>
      <left style="thin">
        <color theme="0" tint="-0.34998626667073579"/>
      </left>
      <right/>
      <top style="thin">
        <color theme="0" tint="-0.34998626667073579"/>
      </top>
      <bottom style="medium">
        <color rgb="FF7030A0"/>
      </bottom>
      <diagonal/>
    </border>
    <border>
      <left style="medium">
        <color rgb="FFFFFF00"/>
      </left>
      <right style="thin">
        <color theme="0" tint="-0.34998626667073579"/>
      </right>
      <top style="thick">
        <color rgb="FFFFFF00"/>
      </top>
      <bottom style="thin">
        <color theme="0" tint="-0.34998626667073579"/>
      </bottom>
      <diagonal/>
    </border>
    <border>
      <left style="thin">
        <color theme="0" tint="-0.34998626667073579"/>
      </left>
      <right style="thin">
        <color theme="0" tint="-0.34998626667073579"/>
      </right>
      <top style="thick">
        <color rgb="FFFFFF00"/>
      </top>
      <bottom style="thin">
        <color theme="0" tint="-0.34998626667073579"/>
      </bottom>
      <diagonal/>
    </border>
    <border>
      <left style="thin">
        <color theme="0" tint="-0.34998626667073579"/>
      </left>
      <right style="thick">
        <color rgb="FFFFFF00"/>
      </right>
      <top style="thick">
        <color rgb="FFFFFF00"/>
      </top>
      <bottom style="thin">
        <color theme="0" tint="-0.34998626667073579"/>
      </bottom>
      <diagonal/>
    </border>
    <border>
      <left style="medium">
        <color rgb="FFFFFF00"/>
      </left>
      <right style="thin">
        <color theme="0" tint="-0.34998626667073579"/>
      </right>
      <top style="thin">
        <color theme="0" tint="-0.34998626667073579"/>
      </top>
      <bottom style="thin">
        <color theme="0" tint="-0.34998626667073579"/>
      </bottom>
      <diagonal/>
    </border>
    <border>
      <left style="thin">
        <color theme="0" tint="-0.34998626667073579"/>
      </left>
      <right style="thick">
        <color rgb="FFFFFF00"/>
      </right>
      <top style="thin">
        <color theme="0" tint="-0.34998626667073579"/>
      </top>
      <bottom style="thin">
        <color theme="0" tint="-0.34998626667073579"/>
      </bottom>
      <diagonal/>
    </border>
    <border>
      <left style="medium">
        <color rgb="FFFFFF00"/>
      </left>
      <right style="thin">
        <color theme="0" tint="-0.34998626667073579"/>
      </right>
      <top style="thin">
        <color theme="0" tint="-0.34998626667073579"/>
      </top>
      <bottom style="thick">
        <color rgb="FFFFFF00"/>
      </bottom>
      <diagonal/>
    </border>
    <border>
      <left style="thin">
        <color theme="0" tint="-0.34998626667073579"/>
      </left>
      <right style="thin">
        <color theme="0" tint="-0.34998626667073579"/>
      </right>
      <top style="thin">
        <color theme="0" tint="-0.34998626667073579"/>
      </top>
      <bottom style="thick">
        <color rgb="FFFFFF00"/>
      </bottom>
      <diagonal/>
    </border>
    <border>
      <left style="thin">
        <color theme="0" tint="-0.34998626667073579"/>
      </left>
      <right style="thick">
        <color rgb="FFFFFF00"/>
      </right>
      <top style="thin">
        <color theme="0" tint="-0.34998626667073579"/>
      </top>
      <bottom style="thick">
        <color rgb="FFFFFF00"/>
      </bottom>
      <diagonal/>
    </border>
    <border>
      <left/>
      <right/>
      <top/>
      <bottom style="thin">
        <color theme="1"/>
      </bottom>
      <diagonal/>
    </border>
    <border>
      <left style="thick">
        <color rgb="FF0070C0"/>
      </left>
      <right/>
      <top/>
      <bottom/>
      <diagonal/>
    </border>
    <border>
      <left/>
      <right style="thick">
        <color rgb="FF0070C0"/>
      </right>
      <top/>
      <bottom/>
      <diagonal/>
    </border>
    <border>
      <left style="thick">
        <color rgb="FFFFC000"/>
      </left>
      <right/>
      <top/>
      <bottom/>
      <diagonal/>
    </border>
    <border>
      <left style="thick">
        <color rgb="FF002060"/>
      </left>
      <right/>
      <top/>
      <bottom/>
      <diagonal/>
    </border>
    <border>
      <left/>
      <right style="thick">
        <color rgb="FFFFC000"/>
      </right>
      <top/>
      <bottom/>
      <diagonal/>
    </border>
    <border>
      <left style="thick">
        <color rgb="FF002060"/>
      </left>
      <right/>
      <top style="thick">
        <color rgb="FF002060"/>
      </top>
      <bottom style="thick">
        <color rgb="FF002060"/>
      </bottom>
      <diagonal/>
    </border>
    <border>
      <left/>
      <right/>
      <top style="thick">
        <color rgb="FF002060"/>
      </top>
      <bottom style="thick">
        <color rgb="FF002060"/>
      </bottom>
      <diagonal/>
    </border>
    <border>
      <left/>
      <right style="thick">
        <color rgb="FFFFC000"/>
      </right>
      <top style="thick">
        <color rgb="FF002060"/>
      </top>
      <bottom style="thick">
        <color rgb="FF002060"/>
      </bottom>
      <diagonal/>
    </border>
    <border>
      <left style="thick">
        <color rgb="FFFFC000"/>
      </left>
      <right/>
      <top style="thick">
        <color rgb="FF002060"/>
      </top>
      <bottom style="thick">
        <color rgb="FF002060"/>
      </bottom>
      <diagonal/>
    </border>
    <border>
      <left/>
      <right style="thick">
        <color rgb="FF0070C0"/>
      </right>
      <top style="thick">
        <color rgb="FF002060"/>
      </top>
      <bottom style="thick">
        <color rgb="FF002060"/>
      </bottom>
      <diagonal/>
    </border>
    <border>
      <left style="thick">
        <color rgb="FF0070C0"/>
      </left>
      <right/>
      <top style="thick">
        <color rgb="FF002060"/>
      </top>
      <bottom style="thick">
        <color rgb="FF002060"/>
      </bottom>
      <diagonal/>
    </border>
    <border>
      <left/>
      <right style="thick">
        <color rgb="FF002060"/>
      </right>
      <top style="thick">
        <color rgb="FF002060"/>
      </top>
      <bottom style="thick">
        <color rgb="FF00206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13" fillId="0" borderId="0" applyNumberFormat="0" applyFill="0" applyBorder="0" applyAlignment="0" applyProtection="0"/>
    <xf numFmtId="0" fontId="15" fillId="0" borderId="0"/>
    <xf numFmtId="0" fontId="16" fillId="0" borderId="0"/>
    <xf numFmtId="0" fontId="25" fillId="0" borderId="0" applyNumberFormat="0" applyFill="0" applyBorder="0" applyAlignment="0" applyProtection="0"/>
  </cellStyleXfs>
  <cellXfs count="129">
    <xf numFmtId="0" fontId="0" fillId="0" borderId="0" xfId="0"/>
    <xf numFmtId="0" fontId="3" fillId="0" borderId="0" xfId="0" applyFont="1"/>
    <xf numFmtId="14" fontId="0" fillId="0" borderId="0" xfId="0" applyNumberFormat="1"/>
    <xf numFmtId="0" fontId="4" fillId="0" borderId="1" xfId="0" applyFont="1" applyBorder="1"/>
    <xf numFmtId="0" fontId="0" fillId="0" borderId="0" xfId="0" applyAlignment="1">
      <alignment horizontal="center"/>
    </xf>
    <xf numFmtId="0" fontId="3" fillId="0" borderId="0" xfId="0" applyFont="1" applyAlignment="1">
      <alignment horizontal="center"/>
    </xf>
    <xf numFmtId="164" fontId="3" fillId="0" borderId="0" xfId="0" applyNumberFormat="1" applyFont="1" applyAlignment="1">
      <alignment horizontal="center"/>
    </xf>
    <xf numFmtId="0" fontId="3" fillId="0" borderId="0" xfId="0" applyFont="1" applyAlignment="1">
      <alignment horizontal="center" vertical="center" wrapText="1"/>
    </xf>
    <xf numFmtId="0" fontId="0" fillId="0" borderId="0" xfId="0" applyAlignment="1">
      <alignment horizontal="center" vertical="center" wrapText="1"/>
    </xf>
    <xf numFmtId="0" fontId="5" fillId="0" borderId="0" xfId="0" applyFont="1"/>
    <xf numFmtId="165" fontId="3" fillId="0" borderId="0" xfId="0" applyNumberFormat="1" applyFont="1"/>
    <xf numFmtId="2" fontId="0" fillId="0" borderId="0" xfId="0" applyNumberFormat="1"/>
    <xf numFmtId="0" fontId="0" fillId="0" borderId="0" xfId="0" applyAlignment="1">
      <alignment horizontal="center" vertical="center"/>
    </xf>
    <xf numFmtId="169" fontId="0" fillId="0" borderId="0" xfId="0" applyNumberFormat="1" applyAlignment="1">
      <alignment horizontal="center" vertical="center"/>
    </xf>
    <xf numFmtId="170" fontId="2" fillId="4" borderId="0" xfId="0" applyNumberFormat="1" applyFont="1" applyFill="1" applyAlignment="1">
      <alignment horizontal="center" vertical="center" textRotation="90"/>
    </xf>
    <xf numFmtId="0" fontId="2" fillId="5" borderId="0" xfId="0" applyFont="1" applyFill="1" applyAlignment="1">
      <alignment horizontal="center" vertical="center"/>
    </xf>
    <xf numFmtId="14" fontId="2" fillId="5" borderId="0" xfId="0" applyNumberFormat="1" applyFont="1" applyFill="1" applyAlignment="1">
      <alignment horizontal="center" vertical="center"/>
    </xf>
    <xf numFmtId="0" fontId="0" fillId="9" borderId="0" xfId="0" applyFill="1" applyAlignment="1">
      <alignment horizontal="center"/>
    </xf>
    <xf numFmtId="0" fontId="0" fillId="0" borderId="2" xfId="0" applyBorder="1"/>
    <xf numFmtId="14" fontId="0" fillId="0" borderId="2" xfId="0" applyNumberFormat="1" applyBorder="1"/>
    <xf numFmtId="170" fontId="2" fillId="6" borderId="3" xfId="0" applyNumberFormat="1" applyFont="1" applyFill="1" applyBorder="1" applyAlignment="1">
      <alignment horizontal="center" vertical="center" textRotation="90"/>
    </xf>
    <xf numFmtId="170" fontId="2" fillId="6" borderId="4" xfId="0" applyNumberFormat="1" applyFont="1" applyFill="1" applyBorder="1" applyAlignment="1">
      <alignment horizontal="center" vertical="center" textRotation="90"/>
    </xf>
    <xf numFmtId="0" fontId="0" fillId="0" borderId="5" xfId="0" applyBorder="1"/>
    <xf numFmtId="0" fontId="0" fillId="0" borderId="6" xfId="0" applyBorder="1"/>
    <xf numFmtId="170" fontId="2" fillId="6" borderId="7" xfId="0" applyNumberFormat="1" applyFont="1" applyFill="1" applyBorder="1" applyAlignment="1">
      <alignment horizontal="center" vertical="center" textRotation="90"/>
    </xf>
    <xf numFmtId="0" fontId="0" fillId="0" borderId="8" xfId="0" applyBorder="1"/>
    <xf numFmtId="170" fontId="2" fillId="4" borderId="9" xfId="0" applyNumberFormat="1" applyFont="1" applyFill="1" applyBorder="1" applyAlignment="1">
      <alignment horizontal="center" vertical="center" textRotation="90"/>
    </xf>
    <xf numFmtId="170" fontId="2" fillId="4" borderId="10" xfId="0" applyNumberFormat="1" applyFont="1" applyFill="1" applyBorder="1" applyAlignment="1">
      <alignment horizontal="center" vertical="center" textRotation="90"/>
    </xf>
    <xf numFmtId="0" fontId="0" fillId="0" borderId="11" xfId="0" applyBorder="1"/>
    <xf numFmtId="0" fontId="0" fillId="0" borderId="12" xfId="0" applyBorder="1"/>
    <xf numFmtId="0" fontId="0" fillId="0" borderId="13" xfId="0" applyBorder="1"/>
    <xf numFmtId="170" fontId="2" fillId="4" borderId="14" xfId="0" applyNumberFormat="1" applyFont="1" applyFill="1" applyBorder="1" applyAlignment="1">
      <alignment horizontal="center" vertical="center" textRotation="90"/>
    </xf>
    <xf numFmtId="0" fontId="0" fillId="0" borderId="15" xfId="0" applyBorder="1"/>
    <xf numFmtId="170" fontId="2" fillId="7" borderId="16" xfId="0" applyNumberFormat="1" applyFont="1" applyFill="1" applyBorder="1" applyAlignment="1">
      <alignment horizontal="center" vertical="center" textRotation="90"/>
    </xf>
    <xf numFmtId="170" fontId="2" fillId="7" borderId="17" xfId="0" applyNumberFormat="1" applyFont="1" applyFill="1" applyBorder="1" applyAlignment="1">
      <alignment horizontal="center" vertical="center" textRotation="90"/>
    </xf>
    <xf numFmtId="0" fontId="0" fillId="0" borderId="18" xfId="0" applyBorder="1"/>
    <xf numFmtId="0" fontId="0" fillId="0" borderId="19" xfId="0" applyBorder="1"/>
    <xf numFmtId="0" fontId="0" fillId="0" borderId="20" xfId="0" applyBorder="1"/>
    <xf numFmtId="0" fontId="0" fillId="0" borderId="21" xfId="0" applyBorder="1"/>
    <xf numFmtId="170" fontId="2" fillId="7" borderId="22" xfId="0" applyNumberFormat="1" applyFont="1" applyFill="1" applyBorder="1" applyAlignment="1">
      <alignment horizontal="center" vertical="center" textRotation="90"/>
    </xf>
    <xf numFmtId="0" fontId="0" fillId="0" borderId="23" xfId="0" applyBorder="1"/>
    <xf numFmtId="0" fontId="0" fillId="0" borderId="24" xfId="0" applyBorder="1"/>
    <xf numFmtId="170" fontId="6" fillId="8" borderId="25" xfId="0" applyNumberFormat="1" applyFont="1" applyFill="1" applyBorder="1" applyAlignment="1">
      <alignment horizontal="center" vertical="center" textRotation="90"/>
    </xf>
    <xf numFmtId="170" fontId="6" fillId="8" borderId="26" xfId="0" applyNumberFormat="1" applyFont="1" applyFill="1" applyBorder="1" applyAlignment="1">
      <alignment horizontal="center" vertical="center" textRotation="90"/>
    </xf>
    <xf numFmtId="0" fontId="0" fillId="0" borderId="27" xfId="0" applyBorder="1"/>
    <xf numFmtId="0" fontId="0" fillId="0" borderId="28" xfId="0" applyBorder="1"/>
    <xf numFmtId="0" fontId="0" fillId="0" borderId="29" xfId="0" applyBorder="1"/>
    <xf numFmtId="170" fontId="6" fillId="8" borderId="30" xfId="0" applyNumberFormat="1" applyFont="1" applyFill="1" applyBorder="1" applyAlignment="1">
      <alignment horizontal="center" vertical="center" textRotation="90"/>
    </xf>
    <xf numFmtId="0" fontId="0" fillId="0" borderId="31" xfId="0" applyBorder="1"/>
    <xf numFmtId="170" fontId="2" fillId="4" borderId="32" xfId="0" applyNumberFormat="1" applyFont="1" applyFill="1" applyBorder="1" applyAlignment="1">
      <alignment horizontal="center" vertical="center" textRotation="90"/>
    </xf>
    <xf numFmtId="170" fontId="2" fillId="4" borderId="33" xfId="0" applyNumberFormat="1" applyFont="1" applyFill="1" applyBorder="1" applyAlignment="1">
      <alignment horizontal="center" vertical="center" textRotation="90"/>
    </xf>
    <xf numFmtId="170" fontId="2" fillId="4" borderId="34" xfId="0" applyNumberFormat="1" applyFont="1" applyFill="1" applyBorder="1" applyAlignment="1">
      <alignment horizontal="center" vertical="center" textRotation="90"/>
    </xf>
    <xf numFmtId="0" fontId="0" fillId="0" borderId="35" xfId="0" applyBorder="1"/>
    <xf numFmtId="0" fontId="0" fillId="0" borderId="36" xfId="0" applyBorder="1"/>
    <xf numFmtId="0" fontId="0" fillId="0" borderId="37" xfId="0" applyBorder="1"/>
    <xf numFmtId="0" fontId="0" fillId="0" borderId="38" xfId="0" applyBorder="1"/>
    <xf numFmtId="0" fontId="0" fillId="0" borderId="39" xfId="0" applyBorder="1"/>
    <xf numFmtId="1" fontId="2" fillId="5" borderId="0" xfId="0" applyNumberFormat="1" applyFont="1" applyFill="1" applyAlignment="1">
      <alignment horizontal="center" vertical="center"/>
    </xf>
    <xf numFmtId="1" fontId="0" fillId="0" borderId="0" xfId="0" applyNumberFormat="1" applyAlignment="1">
      <alignment horizontal="center"/>
    </xf>
    <xf numFmtId="1" fontId="0" fillId="0" borderId="2" xfId="0" applyNumberFormat="1" applyBorder="1" applyAlignment="1">
      <alignment horizontal="center"/>
    </xf>
    <xf numFmtId="0" fontId="2" fillId="4" borderId="40" xfId="0" applyFont="1" applyFill="1" applyBorder="1" applyAlignment="1"/>
    <xf numFmtId="0" fontId="0" fillId="11" borderId="0" xfId="0" applyFill="1"/>
    <xf numFmtId="0" fontId="0" fillId="10" borderId="0" xfId="0" applyFill="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3" fontId="0" fillId="0" borderId="0" xfId="0" applyNumberFormat="1"/>
    <xf numFmtId="38" fontId="0" fillId="0" borderId="0" xfId="0" applyNumberFormat="1"/>
    <xf numFmtId="0" fontId="7" fillId="0" borderId="0" xfId="0" applyFont="1"/>
    <xf numFmtId="14" fontId="7" fillId="0" borderId="0" xfId="0" applyNumberFormat="1" applyFont="1"/>
    <xf numFmtId="1" fontId="7" fillId="0" borderId="0" xfId="0" applyNumberFormat="1" applyFont="1" applyAlignment="1">
      <alignment horizontal="center"/>
    </xf>
    <xf numFmtId="172" fontId="0" fillId="0" borderId="0" xfId="0" applyNumberFormat="1"/>
    <xf numFmtId="38" fontId="7" fillId="0" borderId="0" xfId="0" applyNumberFormat="1" applyFont="1"/>
    <xf numFmtId="0" fontId="0" fillId="3" borderId="0" xfId="0" applyFill="1"/>
    <xf numFmtId="173" fontId="8" fillId="3" borderId="0" xfId="1" applyNumberFormat="1" applyFont="1" applyFill="1" applyAlignment="1">
      <alignment horizontal="center" vertical="center"/>
    </xf>
    <xf numFmtId="174" fontId="0" fillId="3" borderId="0" xfId="0" applyNumberFormat="1" applyFill="1"/>
    <xf numFmtId="9" fontId="9" fillId="3" borderId="0" xfId="2" applyFont="1" applyFill="1" applyAlignment="1">
      <alignment horizontal="center" vertical="center"/>
    </xf>
    <xf numFmtId="43" fontId="3" fillId="0" borderId="0" xfId="1" applyFont="1"/>
    <xf numFmtId="166" fontId="0" fillId="0" borderId="0" xfId="0" applyNumberFormat="1" applyBorder="1"/>
    <xf numFmtId="14" fontId="0" fillId="0" borderId="0" xfId="0" applyNumberFormat="1" applyBorder="1"/>
    <xf numFmtId="168" fontId="0" fillId="0" borderId="0" xfId="0" applyNumberFormat="1" applyBorder="1" applyAlignment="1">
      <alignment horizontal="center"/>
    </xf>
    <xf numFmtId="171" fontId="0" fillId="0" borderId="41" xfId="0" applyNumberFormat="1" applyBorder="1" applyAlignment="1">
      <alignment horizontal="center"/>
    </xf>
    <xf numFmtId="43" fontId="0" fillId="0" borderId="0" xfId="1" applyFont="1" applyBorder="1" applyAlignment="1">
      <alignment horizontal="center"/>
    </xf>
    <xf numFmtId="171" fontId="3" fillId="0" borderId="42" xfId="0" applyNumberFormat="1" applyFont="1" applyBorder="1" applyAlignment="1">
      <alignment horizontal="right"/>
    </xf>
    <xf numFmtId="43" fontId="0" fillId="0" borderId="0" xfId="0" applyNumberFormat="1" applyBorder="1" applyAlignment="1">
      <alignment horizontal="center"/>
    </xf>
    <xf numFmtId="43" fontId="0" fillId="0" borderId="0" xfId="1" applyNumberFormat="1" applyFont="1" applyBorder="1" applyAlignment="1">
      <alignment horizontal="center"/>
    </xf>
    <xf numFmtId="14" fontId="0" fillId="0" borderId="43" xfId="0" applyNumberFormat="1" applyBorder="1"/>
    <xf numFmtId="167" fontId="0" fillId="0" borderId="42" xfId="0" applyNumberFormat="1" applyBorder="1" applyAlignment="1">
      <alignment horizontal="center"/>
    </xf>
    <xf numFmtId="14" fontId="0" fillId="2" borderId="44" xfId="0" applyNumberFormat="1" applyFill="1" applyBorder="1" applyAlignment="1">
      <alignment horizontal="center"/>
    </xf>
    <xf numFmtId="167" fontId="0" fillId="2" borderId="0" xfId="0" applyNumberFormat="1" applyFill="1" applyBorder="1" applyAlignment="1">
      <alignment horizontal="center"/>
    </xf>
    <xf numFmtId="14" fontId="0" fillId="2" borderId="45" xfId="0" applyNumberFormat="1" applyFill="1" applyBorder="1" applyAlignment="1">
      <alignment horizontal="center"/>
    </xf>
    <xf numFmtId="0" fontId="0" fillId="3" borderId="46" xfId="0" applyFill="1" applyBorder="1" applyAlignment="1">
      <alignment horizontal="center" vertical="center" wrapText="1"/>
    </xf>
    <xf numFmtId="0" fontId="3" fillId="3" borderId="47" xfId="0" applyFont="1" applyFill="1" applyBorder="1" applyAlignment="1">
      <alignment horizontal="center" vertical="center" wrapText="1"/>
    </xf>
    <xf numFmtId="0" fontId="0" fillId="3" borderId="48" xfId="0" applyFill="1" applyBorder="1" applyAlignment="1">
      <alignment horizontal="center" vertical="center" wrapText="1"/>
    </xf>
    <xf numFmtId="0" fontId="3" fillId="0" borderId="49" xfId="0" applyFont="1" applyBorder="1" applyAlignment="1">
      <alignment horizontal="center" vertical="center" wrapText="1"/>
    </xf>
    <xf numFmtId="0" fontId="3" fillId="0" borderId="47" xfId="0" applyFont="1" applyBorder="1" applyAlignment="1">
      <alignment horizontal="center" vertical="center" wrapText="1"/>
    </xf>
    <xf numFmtId="0" fontId="6" fillId="12" borderId="50" xfId="0" applyFont="1" applyFill="1" applyBorder="1" applyAlignment="1">
      <alignment horizontal="center" vertical="center" wrapText="1"/>
    </xf>
    <xf numFmtId="0" fontId="3" fillId="0" borderId="51" xfId="0" applyFont="1" applyBorder="1" applyAlignment="1">
      <alignment horizontal="center" vertical="center" wrapText="1"/>
    </xf>
    <xf numFmtId="0" fontId="3" fillId="0" borderId="52" xfId="0" applyFont="1" applyBorder="1" applyAlignment="1">
      <alignment horizontal="center" vertical="center" wrapText="1"/>
    </xf>
    <xf numFmtId="0" fontId="12" fillId="15" borderId="0" xfId="0" applyFont="1" applyFill="1"/>
    <xf numFmtId="0" fontId="12" fillId="15" borderId="0" xfId="0" applyFont="1" applyFill="1" applyAlignment="1">
      <alignment horizontal="center"/>
    </xf>
    <xf numFmtId="175" fontId="7" fillId="3" borderId="0" xfId="0" applyNumberFormat="1" applyFont="1" applyFill="1"/>
    <xf numFmtId="0" fontId="10" fillId="0" borderId="53" xfId="0" applyFont="1" applyBorder="1" applyAlignment="1">
      <alignment horizontal="center"/>
    </xf>
    <xf numFmtId="0" fontId="10" fillId="0" borderId="55" xfId="0" applyFont="1" applyBorder="1" applyAlignment="1">
      <alignment horizontal="center"/>
    </xf>
    <xf numFmtId="0" fontId="10" fillId="8" borderId="54" xfId="0" applyFont="1" applyFill="1" applyBorder="1" applyAlignment="1">
      <alignment horizontal="center"/>
    </xf>
    <xf numFmtId="0" fontId="10" fillId="8" borderId="56" xfId="0" applyFont="1" applyFill="1" applyBorder="1" applyAlignment="1">
      <alignment horizontal="center"/>
    </xf>
    <xf numFmtId="0" fontId="14" fillId="16" borderId="0" xfId="3" applyFont="1" applyFill="1" applyAlignment="1">
      <alignment horizontal="left" vertical="top" indent="5"/>
    </xf>
    <xf numFmtId="0" fontId="0" fillId="16" borderId="0" xfId="0" applyFill="1"/>
    <xf numFmtId="0" fontId="15" fillId="17" borderId="0" xfId="4" applyFill="1"/>
    <xf numFmtId="0" fontId="1" fillId="17" borderId="0" xfId="4" applyFont="1" applyFill="1"/>
    <xf numFmtId="0" fontId="15" fillId="0" borderId="0" xfId="4"/>
    <xf numFmtId="0" fontId="16" fillId="0" borderId="0" xfId="5"/>
    <xf numFmtId="0" fontId="17" fillId="0" borderId="0" xfId="5" applyFont="1" applyAlignment="1">
      <alignment vertical="center"/>
    </xf>
    <xf numFmtId="0" fontId="18" fillId="0" borderId="0" xfId="5" applyFont="1" applyAlignment="1">
      <alignment vertical="center"/>
    </xf>
    <xf numFmtId="0" fontId="17" fillId="0" borderId="0" xfId="5" applyFont="1" applyAlignment="1">
      <alignment vertical="top"/>
    </xf>
    <xf numFmtId="0" fontId="19" fillId="0" borderId="0" xfId="5" applyFont="1" applyAlignment="1">
      <alignment vertical="center"/>
    </xf>
    <xf numFmtId="0" fontId="20" fillId="0" borderId="0" xfId="5" applyFont="1" applyAlignment="1">
      <alignment vertical="top"/>
    </xf>
    <xf numFmtId="0" fontId="21" fillId="0" borderId="0" xfId="4" applyFont="1"/>
    <xf numFmtId="0" fontId="23" fillId="19" borderId="0" xfId="4" applyFont="1" applyFill="1" applyAlignment="1">
      <alignment horizontal="center" vertical="center"/>
    </xf>
    <xf numFmtId="0" fontId="24" fillId="0" borderId="0" xfId="4" applyFont="1" applyAlignment="1">
      <alignment vertical="center"/>
    </xf>
    <xf numFmtId="0" fontId="25" fillId="0" borderId="0" xfId="6" applyAlignment="1">
      <alignment vertical="center"/>
    </xf>
    <xf numFmtId="0" fontId="27" fillId="3" borderId="0" xfId="0" applyFont="1" applyFill="1"/>
    <xf numFmtId="0" fontId="0" fillId="0" borderId="0" xfId="0" applyFill="1" applyAlignment="1">
      <alignment horizontal="left" indent="1"/>
    </xf>
    <xf numFmtId="0" fontId="28" fillId="3" borderId="0" xfId="0" applyFont="1" applyFill="1"/>
    <xf numFmtId="0" fontId="11" fillId="13" borderId="0" xfId="0" applyFont="1" applyFill="1" applyBorder="1" applyAlignment="1">
      <alignment horizontal="center"/>
    </xf>
    <xf numFmtId="0" fontId="2" fillId="14" borderId="0" xfId="0" applyFont="1" applyFill="1" applyBorder="1" applyAlignment="1">
      <alignment horizontal="center"/>
    </xf>
    <xf numFmtId="0" fontId="22" fillId="18" borderId="0" xfId="4" applyFont="1" applyFill="1" applyAlignment="1">
      <alignment horizontal="center" vertical="center"/>
    </xf>
    <xf numFmtId="0" fontId="26" fillId="19" borderId="0" xfId="4" applyFont="1" applyFill="1" applyAlignment="1">
      <alignment horizontal="center" vertical="center"/>
    </xf>
  </cellXfs>
  <cellStyles count="7">
    <cellStyle name="Hipervínculo" xfId="3" builtinId="8"/>
    <cellStyle name="Hipervínculo 2" xfId="6" xr:uid="{40A0C76F-8E85-469A-B8A5-A06934B1AED8}"/>
    <cellStyle name="Millares" xfId="1" builtinId="3"/>
    <cellStyle name="Normal" xfId="0" builtinId="0"/>
    <cellStyle name="Normal 2" xfId="4" xr:uid="{EEF8D28F-0BF0-4D20-8FC3-1AD4FDA7002F}"/>
    <cellStyle name="Normal 3" xfId="5" xr:uid="{0B4887BE-BE35-4DFB-B31A-28F2F0AD1921}"/>
    <cellStyle name="Porcentaje" xfId="2" builtinId="5"/>
  </cellStyles>
  <dxfs count="36">
    <dxf>
      <fill>
        <patternFill>
          <bgColor auto="1"/>
        </patternFill>
      </fill>
    </dxf>
    <dxf>
      <font>
        <color theme="0"/>
      </font>
    </dxf>
    <dxf>
      <fill>
        <patternFill>
          <bgColor rgb="FF408C88"/>
        </patternFill>
      </fill>
      <border>
        <left style="thin">
          <color theme="1"/>
        </left>
        <right style="thin">
          <color theme="1"/>
        </right>
        <top style="thin">
          <color theme="1"/>
        </top>
        <bottom style="thin">
          <color theme="1"/>
        </bottom>
      </border>
    </dxf>
    <dxf>
      <fill>
        <patternFill>
          <bgColor theme="0" tint="-0.34998626667073579"/>
        </patternFill>
      </fill>
      <border>
        <left style="thin">
          <color theme="0" tint="-0.24994659260841701"/>
        </left>
        <right style="thin">
          <color theme="0" tint="-0.24994659260841701"/>
        </right>
        <top style="thin">
          <color theme="0" tint="-0.24994659260841701"/>
        </top>
        <bottom style="thin">
          <color theme="0" tint="-0.24994659260841701"/>
        </bottom>
      </border>
    </dxf>
    <dxf>
      <font>
        <b/>
      </font>
      <numFmt numFmtId="171" formatCode="#,##0.0"/>
      <alignment horizontal="right" vertical="bottom" textRotation="0" wrapText="0" indent="0" justifyLastLine="0" shrinkToFit="0" readingOrder="0"/>
      <border diagonalUp="0" diagonalDown="0">
        <left/>
        <right style="thick">
          <color rgb="FF0070C0"/>
        </right>
        <top/>
        <bottom/>
        <vertical/>
        <horizontal/>
      </border>
    </dxf>
    <dxf>
      <numFmt numFmtId="35" formatCode="_-* #,##0.00_-;\-* #,##0.00_-;_-* &quot;-&quot;??_-;_-@_-"/>
      <alignment horizontal="center" vertical="bottom" textRotation="0" wrapText="0" indent="0" justifyLastLine="0" shrinkToFit="0" readingOrder="0"/>
    </dxf>
    <dxf>
      <numFmt numFmtId="171" formatCode="#,##0.0"/>
      <alignment horizontal="center" vertical="bottom" textRotation="0" wrapText="0" indent="0" justifyLastLine="0" shrinkToFit="0" readingOrder="0"/>
      <border diagonalUp="0" diagonalDown="0">
        <left style="thick">
          <color rgb="FF0070C0"/>
        </left>
        <right/>
        <top/>
        <bottom/>
        <vertical/>
        <horizontal/>
      </border>
    </dxf>
    <dxf>
      <numFmt numFmtId="167" formatCode="0\ &quot;Días&quot;"/>
      <alignment horizontal="center" vertical="bottom" textRotation="0" wrapText="0" indent="0" justifyLastLine="0" shrinkToFit="0" readingOrder="0"/>
      <border diagonalUp="0" diagonalDown="0">
        <left/>
        <right style="thick">
          <color rgb="FF0070C0"/>
        </right>
        <top/>
        <bottom/>
        <vertical/>
        <horizontal/>
      </border>
    </dxf>
    <dxf>
      <numFmt numFmtId="168" formatCode="0\ &quot;Meses&quot;"/>
      <alignment horizontal="center" vertical="bottom" textRotation="0" wrapText="0" indent="0" justifyLastLine="0" shrinkToFit="0" readingOrder="0"/>
    </dxf>
    <dxf>
      <numFmt numFmtId="19" formatCode="dd/mm/yyyy"/>
    </dxf>
    <dxf>
      <numFmt numFmtId="166" formatCode="#,##0\ &quot;meses&quot;"/>
    </dxf>
    <dxf>
      <numFmt numFmtId="19" formatCode="dd/mm/yyyy"/>
      <border diagonalUp="0" diagonalDown="0">
        <left style="thick">
          <color rgb="FFFFC000"/>
        </left>
        <right/>
        <top/>
        <bottom/>
        <vertical/>
        <horizontal/>
      </border>
    </dxf>
    <dxf>
      <numFmt numFmtId="19" formatCode="dd/mm/yyyy"/>
      <fill>
        <patternFill patternType="solid">
          <fgColor indexed="64"/>
          <bgColor theme="8" tint="0.39997558519241921"/>
        </patternFill>
      </fill>
      <alignment horizontal="center" vertical="bottom" textRotation="0" wrapText="0" indent="0" justifyLastLine="0" shrinkToFit="0" readingOrder="0"/>
      <border diagonalUp="0" diagonalDown="0">
        <left/>
        <right style="thick">
          <color rgb="FFFFC000"/>
        </right>
        <top/>
        <bottom/>
        <vertical/>
        <horizontal/>
      </border>
    </dxf>
    <dxf>
      <numFmt numFmtId="167" formatCode="0\ &quot;Días&quot;"/>
      <fill>
        <patternFill patternType="solid">
          <fgColor indexed="64"/>
          <bgColor theme="8" tint="0.39997558519241921"/>
        </patternFill>
      </fill>
      <alignment horizontal="center" vertical="bottom" textRotation="0" wrapText="0" indent="0" justifyLastLine="0" shrinkToFit="0" readingOrder="0"/>
    </dxf>
    <dxf>
      <numFmt numFmtId="19" formatCode="dd/mm/yyyy"/>
      <fill>
        <patternFill patternType="solid">
          <fgColor indexed="64"/>
          <bgColor theme="8" tint="0.39997558519241921"/>
        </patternFill>
      </fill>
      <alignment horizontal="center" vertical="bottom" textRotation="0" wrapText="0" indent="0" justifyLastLine="0" shrinkToFit="0" readingOrder="0"/>
      <border diagonalUp="0" diagonalDown="0">
        <left style="thick">
          <color rgb="FF002060"/>
        </left>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Arial"/>
        <family val="2"/>
        <scheme val="none"/>
      </font>
      <alignment horizontal="center" vertical="center" textRotation="0" wrapText="1" indent="0" justifyLastLine="0" shrinkToFit="0" readingOrder="0"/>
    </dxf>
    <dxf>
      <font>
        <b/>
        <i val="0"/>
        <strike val="0"/>
        <condense val="0"/>
        <extend val="0"/>
        <outline val="0"/>
        <shadow val="0"/>
        <u val="none"/>
        <vertAlign val="baseline"/>
        <sz val="11"/>
        <color theme="1"/>
        <name val="Arial"/>
        <family val="2"/>
        <scheme val="none"/>
      </font>
    </dxf>
    <dxf>
      <font>
        <b/>
        <i val="0"/>
        <strike val="0"/>
        <condense val="0"/>
        <extend val="0"/>
        <outline val="0"/>
        <shadow val="0"/>
        <u val="none"/>
        <vertAlign val="baseline"/>
        <sz val="11"/>
        <color theme="1"/>
        <name val="Arial"/>
        <family val="2"/>
        <scheme val="none"/>
      </font>
    </dxf>
    <dxf>
      <numFmt numFmtId="19" formatCode="dd/mm/yyyy"/>
    </dxf>
    <dxf>
      <numFmt numFmtId="19" formatCode="dd/mm/yyyy"/>
    </dxf>
    <dxf>
      <numFmt numFmtId="2" formatCode="0.00"/>
    </dxf>
    <dxf>
      <numFmt numFmtId="0" formatCode="General"/>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fill>
        <patternFill patternType="solid">
          <fgColor theme="8" tint="0.79998168889431442"/>
          <bgColor theme="8" tint="0.79998168889431442"/>
        </patternFill>
      </fill>
    </dxf>
    <dxf>
      <font>
        <color theme="0"/>
      </font>
      <fill>
        <patternFill>
          <bgColor rgb="FF0070C0"/>
        </patternFill>
      </fill>
    </dxf>
    <dxf>
      <font>
        <b/>
        <i val="0"/>
        <color theme="0"/>
      </font>
      <fill>
        <patternFill patternType="solid">
          <fgColor theme="8" tint="0.59999389629810485"/>
          <bgColor theme="8" tint="-0.499984740745262"/>
        </patternFill>
      </fill>
    </dxf>
    <dxf>
      <font>
        <b/>
        <i val="0"/>
        <color theme="0"/>
      </font>
      <fill>
        <patternFill>
          <bgColor rgb="FF0070C0"/>
        </patternFill>
      </fill>
      <border>
        <left style="medium">
          <color theme="8" tint="0.59999389629810485"/>
        </left>
        <right style="medium">
          <color theme="8" tint="0.59999389629810485"/>
        </right>
        <top style="medium">
          <color theme="8" tint="0.59999389629810485"/>
        </top>
        <bottom style="medium">
          <color theme="8" tint="0.59999389629810485"/>
        </bottom>
      </border>
    </dxf>
    <dxf>
      <border>
        <left style="thin">
          <color theme="8" tint="0.39997558519241921"/>
        </left>
        <right style="thin">
          <color theme="8" tint="0.39997558519241921"/>
        </right>
      </border>
    </dxf>
    <dxf>
      <border>
        <top style="thin">
          <color theme="8" tint="0.39997558519241921"/>
        </top>
        <bottom style="thin">
          <color theme="8" tint="0.39997558519241921"/>
        </bottom>
        <horizontal style="thin">
          <color theme="8" tint="0.39997558519241921"/>
        </horizontal>
      </border>
    </dxf>
    <dxf>
      <font>
        <b/>
        <i val="0"/>
        <color theme="0"/>
      </font>
      <fill>
        <patternFill>
          <bgColor theme="8" tint="-0.499984740745262"/>
        </patternFill>
      </fill>
      <border>
        <top style="thin">
          <color theme="8" tint="-0.249977111117893"/>
        </top>
        <bottom style="medium">
          <color theme="8" tint="-0.249977111117893"/>
        </bottom>
      </border>
    </dxf>
    <dxf>
      <font>
        <b/>
        <color theme="0"/>
      </font>
      <fill>
        <patternFill patternType="solid">
          <fgColor theme="8"/>
          <bgColor theme="8"/>
        </patternFill>
      </fill>
      <border>
        <top style="medium">
          <color theme="8" tint="-0.249977111117893"/>
        </top>
      </border>
    </dxf>
    <dxf>
      <font>
        <color theme="1"/>
      </font>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border>
    </dxf>
  </dxfs>
  <tableStyles count="1" defaultTableStyle="TableStyleMedium2" defaultPivotStyle="PivotStyleLight16">
    <tableStyle name="PivotStyleMedium13 2" table="0" count="12" xr9:uid="{788A0889-018C-4C5B-AB39-7B1F5050BE83}">
      <tableStyleElement type="wholeTable" dxfId="35"/>
      <tableStyleElement type="headerRow" dxfId="34"/>
      <tableStyleElement type="totalRow" dxfId="33"/>
      <tableStyleElement type="firstRowStripe" dxfId="32"/>
      <tableStyleElement type="firstColumnStripe" dxfId="31"/>
      <tableStyleElement type="firstSubtotalColumn" dxfId="30"/>
      <tableStyleElement type="firstSubtotalRow" dxfId="29"/>
      <tableStyleElement type="secondSubtotalRow" dxfId="28"/>
      <tableStyleElement type="firstRowSubheading" dxfId="27"/>
      <tableStyleElement type="secondRowSubheading" dxfId="26"/>
      <tableStyleElement type="pageFieldLabels" dxfId="25"/>
      <tableStyleElement type="pageFieldValues" dxfId="24"/>
    </tableStyle>
  </tableStyles>
  <colors>
    <mruColors>
      <color rgb="FF31869B"/>
      <color rgb="FF408C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1"/>
          <c:order val="0"/>
          <c:tx>
            <c:strRef>
              <c:f>LIQUIDACIÓN!$C$6</c:f>
              <c:strCache>
                <c:ptCount val="1"/>
                <c:pt idx="0">
                  <c:v>Fecha Inicio</c:v>
                </c:pt>
              </c:strCache>
            </c:strRef>
          </c:tx>
          <c:spPr>
            <a:noFill/>
            <a:ln>
              <a:noFill/>
            </a:ln>
            <a:effectLst/>
            <a:extLst>
              <a:ext uri="{909E8E84-426E-40DD-AFC4-6F175D3DCCD1}">
                <a14:hiddenFill xmlns:a14="http://schemas.microsoft.com/office/drawing/2010/main">
                  <a:solidFill>
                    <a:srgbClr val="ED7D31"/>
                  </a:solidFill>
                </a14:hiddenFill>
              </a:ext>
            </a:extLst>
          </c:spPr>
          <c:invertIfNegative val="0"/>
          <c:dPt>
            <c:idx val="0"/>
            <c:invertIfNegative val="0"/>
            <c:bubble3D val="0"/>
            <c:spPr>
              <a:noFill/>
              <a:ln>
                <a:noFill/>
              </a:ln>
              <a:effectLst/>
              <a:extLst>
                <a:ext uri="{909E8E84-426E-40DD-AFC4-6F175D3DCCD1}">
                  <a14:hiddenFill xmlns:a14="http://schemas.microsoft.com/office/drawing/2010/main">
                    <a:solidFill>
                      <a:schemeClr val="accent2">
                        <a:lumMod val="75000"/>
                      </a:schemeClr>
                    </a:solidFill>
                  </a14:hiddenFill>
                </a:ext>
              </a:extLst>
            </c:spPr>
            <c:extLst>
              <c:ext xmlns:c16="http://schemas.microsoft.com/office/drawing/2014/chart" uri="{C3380CC4-5D6E-409C-BE32-E72D297353CC}">
                <c16:uniqueId val="{00000001-1494-4783-B90F-85338E7F9EB9}"/>
              </c:ext>
            </c:extLst>
          </c:dPt>
          <c:dPt>
            <c:idx val="1"/>
            <c:invertIfNegative val="0"/>
            <c:bubble3D val="0"/>
            <c:spPr>
              <a:noFill/>
              <a:ln>
                <a:noFill/>
              </a:ln>
              <a:effectLst/>
              <a:extLst>
                <a:ext uri="{909E8E84-426E-40DD-AFC4-6F175D3DCCD1}">
                  <a14:hiddenFill xmlns:a14="http://schemas.microsoft.com/office/drawing/2010/main">
                    <a:solidFill>
                      <a:schemeClr val="accent2">
                        <a:lumMod val="75000"/>
                      </a:schemeClr>
                    </a:solidFill>
                  </a14:hiddenFill>
                </a:ext>
              </a:extLst>
            </c:spPr>
            <c:extLst>
              <c:ext xmlns:c16="http://schemas.microsoft.com/office/drawing/2014/chart" uri="{C3380CC4-5D6E-409C-BE32-E72D297353CC}">
                <c16:uniqueId val="{00000003-1494-4783-B90F-85338E7F9EB9}"/>
              </c:ext>
            </c:extLst>
          </c:dPt>
          <c:dPt>
            <c:idx val="2"/>
            <c:invertIfNegative val="0"/>
            <c:bubble3D val="0"/>
            <c:spPr>
              <a:noFill/>
              <a:ln>
                <a:noFill/>
              </a:ln>
              <a:effectLst/>
              <a:extLst>
                <a:ext uri="{909E8E84-426E-40DD-AFC4-6F175D3DCCD1}">
                  <a14:hiddenFill xmlns:a14="http://schemas.microsoft.com/office/drawing/2010/main">
                    <a:solidFill>
                      <a:schemeClr val="accent2">
                        <a:lumMod val="75000"/>
                      </a:schemeClr>
                    </a:solidFill>
                  </a14:hiddenFill>
                </a:ext>
              </a:extLst>
            </c:spPr>
            <c:extLst>
              <c:ext xmlns:c16="http://schemas.microsoft.com/office/drawing/2014/chart" uri="{C3380CC4-5D6E-409C-BE32-E72D297353CC}">
                <c16:uniqueId val="{00000005-3B48-4A96-ADE0-D609E3B2527C}"/>
              </c:ext>
            </c:extLst>
          </c:dPt>
          <c:val>
            <c:numRef>
              <c:f>LIQUIDACIÓN!$C$7:$C$13</c:f>
              <c:numCache>
                <c:formatCode>m/d/yyyy</c:formatCode>
                <c:ptCount val="7"/>
                <c:pt idx="0">
                  <c:v>44201</c:v>
                </c:pt>
                <c:pt idx="1">
                  <c:v>44206</c:v>
                </c:pt>
                <c:pt idx="2">
                  <c:v>44197</c:v>
                </c:pt>
                <c:pt idx="3">
                  <c:v>44216</c:v>
                </c:pt>
                <c:pt idx="4">
                  <c:v>44216</c:v>
                </c:pt>
                <c:pt idx="5">
                  <c:v>44216</c:v>
                </c:pt>
                <c:pt idx="6">
                  <c:v>44216</c:v>
                </c:pt>
              </c:numCache>
            </c:numRef>
          </c:val>
          <c:extLst>
            <c:ext xmlns:c16="http://schemas.microsoft.com/office/drawing/2014/chart" uri="{C3380CC4-5D6E-409C-BE32-E72D297353CC}">
              <c16:uniqueId val="{00000000-01C6-4829-84AB-81802C459534}"/>
            </c:ext>
          </c:extLst>
        </c:ser>
        <c:ser>
          <c:idx val="0"/>
          <c:order val="1"/>
          <c:tx>
            <c:strRef>
              <c:f>LIQUIDACIÓN!$D$6</c:f>
              <c:strCache>
                <c:ptCount val="1"/>
                <c:pt idx="0">
                  <c:v>Días Program.</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2-A8EB-4993-8621-666FF00FF4E1}"/>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7-1494-4783-B90F-85338E7F9EB9}"/>
              </c:ext>
            </c:extLst>
          </c:dPt>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bg1"/>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LIQUIDACIÓN!$A$7:$A$13</c:f>
              <c:strCache>
                <c:ptCount val="7"/>
                <c:pt idx="0">
                  <c:v>Jhony Escobar</c:v>
                </c:pt>
                <c:pt idx="1">
                  <c:v>Diego Carlos</c:v>
                </c:pt>
                <c:pt idx="2">
                  <c:v>Juan</c:v>
                </c:pt>
                <c:pt idx="3">
                  <c:v>Pablo</c:v>
                </c:pt>
                <c:pt idx="4">
                  <c:v>Joga</c:v>
                </c:pt>
                <c:pt idx="5">
                  <c:v>Car</c:v>
                </c:pt>
                <c:pt idx="6">
                  <c:v>YO</c:v>
                </c:pt>
              </c:strCache>
            </c:strRef>
          </c:cat>
          <c:val>
            <c:numRef>
              <c:f>LIQUIDACIÓN!$D$7:$D$13</c:f>
              <c:numCache>
                <c:formatCode>0\ "Días"</c:formatCode>
                <c:ptCount val="7"/>
                <c:pt idx="0">
                  <c:v>15</c:v>
                </c:pt>
                <c:pt idx="1">
                  <c:v>10</c:v>
                </c:pt>
                <c:pt idx="2">
                  <c:v>10</c:v>
                </c:pt>
                <c:pt idx="3">
                  <c:v>50</c:v>
                </c:pt>
                <c:pt idx="4">
                  <c:v>50</c:v>
                </c:pt>
                <c:pt idx="5">
                  <c:v>50</c:v>
                </c:pt>
                <c:pt idx="6">
                  <c:v>50</c:v>
                </c:pt>
              </c:numCache>
            </c:numRef>
          </c:val>
          <c:extLst>
            <c:ext xmlns:c16="http://schemas.microsoft.com/office/drawing/2014/chart" uri="{C3380CC4-5D6E-409C-BE32-E72D297353CC}">
              <c16:uniqueId val="{00000001-01C6-4829-84AB-81802C459534}"/>
            </c:ext>
          </c:extLst>
        </c:ser>
        <c:dLbls>
          <c:showLegendKey val="0"/>
          <c:showVal val="0"/>
          <c:showCatName val="0"/>
          <c:showSerName val="0"/>
          <c:showPercent val="0"/>
          <c:showBubbleSize val="0"/>
        </c:dLbls>
        <c:gapWidth val="66"/>
        <c:overlap val="100"/>
        <c:axId val="1128586607"/>
        <c:axId val="1128584943"/>
      </c:barChart>
      <c:catAx>
        <c:axId val="1128586607"/>
        <c:scaling>
          <c:orientation val="minMax"/>
        </c:scaling>
        <c:delete val="0"/>
        <c:axPos val="l"/>
        <c:majorGridlines>
          <c:spPr>
            <a:ln w="3175" cap="flat" cmpd="sng" algn="ctr">
              <a:solidFill>
                <a:schemeClr val="tx2"/>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rgbClr val="002060"/>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bg1"/>
                </a:solidFill>
                <a:latin typeface="Arial" panose="020B0604020202020204" pitchFamily="34" charset="0"/>
                <a:ea typeface="+mn-ea"/>
                <a:cs typeface="Arial" panose="020B0604020202020204" pitchFamily="34" charset="0"/>
              </a:defRPr>
            </a:pPr>
            <a:endParaRPr lang="es-ES"/>
          </a:p>
        </c:txPr>
        <c:crossAx val="1128584943"/>
        <c:crosses val="autoZero"/>
        <c:auto val="1"/>
        <c:lblAlgn val="ctr"/>
        <c:lblOffset val="100"/>
        <c:noMultiLvlLbl val="0"/>
      </c:catAx>
      <c:valAx>
        <c:axId val="1128584943"/>
        <c:scaling>
          <c:orientation val="minMax"/>
          <c:min val="44197"/>
        </c:scaling>
        <c:delete val="0"/>
        <c:axPos val="b"/>
        <c:majorGridlines>
          <c:spPr>
            <a:ln w="3175" cap="flat" cmpd="sng" algn="ctr">
              <a:solidFill>
                <a:schemeClr val="accent5">
                  <a:lumMod val="40000"/>
                  <a:lumOff val="60000"/>
                </a:schemeClr>
              </a:solidFill>
              <a:round/>
            </a:ln>
            <a:effectLst/>
          </c:spPr>
        </c:majorGridlines>
        <c:minorGridlines>
          <c:spPr>
            <a:ln w="9525" cap="flat" cmpd="sng" algn="ctr">
              <a:solidFill>
                <a:schemeClr val="tx1">
                  <a:lumMod val="5000"/>
                  <a:lumOff val="95000"/>
                </a:schemeClr>
              </a:solidFill>
              <a:round/>
            </a:ln>
            <a:effectLst/>
          </c:spPr>
        </c:min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1128586607"/>
        <c:crosses val="autoZero"/>
        <c:crossBetween val="between"/>
        <c:minorUnit val="1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noFill/>
      <a:round/>
    </a:ln>
    <a:effectLst>
      <a:outerShdw blurRad="50800" dist="38100" dir="5400000" algn="t" rotWithShape="0">
        <a:prstClr val="black">
          <a:alpha val="40000"/>
        </a:prstClr>
      </a:outerShdw>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71014988117305"/>
          <c:y val="8.6785009861932938E-2"/>
          <c:w val="0.62006992719230392"/>
          <c:h val="0.91321522309711289"/>
        </c:manualLayout>
      </c:layout>
      <c:doughnutChart>
        <c:varyColors val="1"/>
        <c:ser>
          <c:idx val="0"/>
          <c:order val="0"/>
          <c:spPr>
            <a:solidFill>
              <a:schemeClr val="accent5">
                <a:lumMod val="75000"/>
              </a:schemeClr>
            </a:solidFill>
            <a:effectLst>
              <a:outerShdw blurRad="50800" dist="38100" dir="18900000" algn="bl" rotWithShape="0">
                <a:schemeClr val="bg1">
                  <a:alpha val="24000"/>
                </a:schemeClr>
              </a:outerShdw>
            </a:effectLst>
          </c:spPr>
          <c:explosion val="2"/>
          <c:dPt>
            <c:idx val="0"/>
            <c:bubble3D val="0"/>
            <c:spPr>
              <a:solidFill>
                <a:schemeClr val="accent5">
                  <a:lumMod val="20000"/>
                  <a:lumOff val="80000"/>
                </a:schemeClr>
              </a:solidFill>
              <a:ln w="19050">
                <a:solidFill>
                  <a:schemeClr val="lt1"/>
                </a:solidFill>
              </a:ln>
              <a:effectLst>
                <a:outerShdw blurRad="50800" dist="38100" dir="18900000" algn="bl" rotWithShape="0">
                  <a:schemeClr val="bg1">
                    <a:alpha val="24000"/>
                  </a:schemeClr>
                </a:outerShdw>
              </a:effectLst>
            </c:spPr>
            <c:extLst>
              <c:ext xmlns:c16="http://schemas.microsoft.com/office/drawing/2014/chart" uri="{C3380CC4-5D6E-409C-BE32-E72D297353CC}">
                <c16:uniqueId val="{00000003-4C8C-488C-8186-BA67888963B4}"/>
              </c:ext>
            </c:extLst>
          </c:dPt>
          <c:dPt>
            <c:idx val="1"/>
            <c:bubble3D val="0"/>
            <c:spPr>
              <a:solidFill>
                <a:schemeClr val="accent5">
                  <a:lumMod val="75000"/>
                </a:schemeClr>
              </a:solidFill>
              <a:ln w="19050">
                <a:solidFill>
                  <a:schemeClr val="lt1"/>
                </a:solidFill>
              </a:ln>
              <a:effectLst>
                <a:outerShdw blurRad="50800" dist="38100" dir="18900000" algn="bl" rotWithShape="0">
                  <a:schemeClr val="bg1">
                    <a:alpha val="24000"/>
                  </a:schemeClr>
                </a:outerShdw>
              </a:effectLst>
            </c:spPr>
            <c:extLst>
              <c:ext xmlns:c16="http://schemas.microsoft.com/office/drawing/2014/chart" uri="{C3380CC4-5D6E-409C-BE32-E72D297353CC}">
                <c16:uniqueId val="{00000002-4C8C-488C-8186-BA67888963B4}"/>
              </c:ext>
            </c:extLst>
          </c:dPt>
          <c:val>
            <c:numRef>
              <c:f>DASHBOARD!$E$6:$F$6</c:f>
              <c:numCache>
                <c:formatCode>0%</c:formatCode>
                <c:ptCount val="2"/>
                <c:pt idx="0">
                  <c:v>1.236842105263158</c:v>
                </c:pt>
                <c:pt idx="1">
                  <c:v>0</c:v>
                </c:pt>
              </c:numCache>
            </c:numRef>
          </c:val>
          <c:extLst>
            <c:ext xmlns:c16="http://schemas.microsoft.com/office/drawing/2014/chart" uri="{C3380CC4-5D6E-409C-BE32-E72D297353CC}">
              <c16:uniqueId val="{00000000-4C8C-488C-8186-BA67888963B4}"/>
            </c:ext>
          </c:extLst>
        </c:ser>
        <c:dLbls>
          <c:showLegendKey val="0"/>
          <c:showVal val="0"/>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B$4" horiz="1" max="8000" noThreeD="1" page="20" val="2021"/>
</file>

<file path=xl/drawings/_rels/drawing1.xml.rels><?xml version="1.0" encoding="UTF-8" standalone="yes"?>
<Relationships xmlns="http://schemas.openxmlformats.org/package/2006/relationships"><Relationship Id="rId8" Type="http://schemas.openxmlformats.org/officeDocument/2006/relationships/hyperlink" Target="https://excelparatodos.com/test-de-excel/test/" TargetMode="External"/><Relationship Id="rId3" Type="http://schemas.openxmlformats.org/officeDocument/2006/relationships/image" Target="../media/image1.png"/><Relationship Id="rId7" Type="http://schemas.openxmlformats.org/officeDocument/2006/relationships/hyperlink" Target="#PARAMETROS!A1"/><Relationship Id="rId2" Type="http://schemas.openxmlformats.org/officeDocument/2006/relationships/hyperlink" Target="http://www.excelparatodos.com" TargetMode="External"/><Relationship Id="rId1" Type="http://schemas.openxmlformats.org/officeDocument/2006/relationships/hyperlink" Target="https://excelparatodos.com/plantillas-y-aplicaciones-de-excel-o-consultorias/" TargetMode="External"/><Relationship Id="rId6" Type="http://schemas.openxmlformats.org/officeDocument/2006/relationships/image" Target="../media/image2.png"/><Relationship Id="rId11" Type="http://schemas.openxmlformats.org/officeDocument/2006/relationships/hyperlink" Target="#CALENDARIO!A1"/><Relationship Id="rId5" Type="http://schemas.openxmlformats.org/officeDocument/2006/relationships/hyperlink" Target="#SUGERENCIAS!A1"/><Relationship Id="rId10" Type="http://schemas.openxmlformats.org/officeDocument/2006/relationships/hyperlink" Target="#LIQUIDACI&#211;N!A1"/><Relationship Id="rId4" Type="http://schemas.openxmlformats.org/officeDocument/2006/relationships/hyperlink" Target="https://excelparatodos.com/curso-de-excel/" TargetMode="External"/><Relationship Id="rId9"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hyperlink" Target="#Parametros!A1"/><Relationship Id="rId3" Type="http://schemas.openxmlformats.org/officeDocument/2006/relationships/hyperlink" Target="#Calendario!A1"/><Relationship Id="rId7" Type="http://schemas.openxmlformats.org/officeDocument/2006/relationships/image" Target="../media/image5.jpe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http://www.excelparatodos.com" TargetMode="External"/><Relationship Id="rId5" Type="http://schemas.openxmlformats.org/officeDocument/2006/relationships/hyperlink" Target="#Empleados!A1"/><Relationship Id="rId10" Type="http://schemas.openxmlformats.org/officeDocument/2006/relationships/image" Target="../media/image3.png"/><Relationship Id="rId4" Type="http://schemas.openxmlformats.org/officeDocument/2006/relationships/image" Target="../media/image4.png"/><Relationship Id="rId9" Type="http://schemas.openxmlformats.org/officeDocument/2006/relationships/image" Target="../media/image6.png"/></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https://excelparatodos.com/curso-de-excel/" TargetMode="External"/><Relationship Id="rId7" Type="http://schemas.openxmlformats.org/officeDocument/2006/relationships/hyperlink" Target="https://excelparatodos.com/plantillas-y-aplicaciones-de-excel-o-consultorias/" TargetMode="External"/><Relationship Id="rId2" Type="http://schemas.openxmlformats.org/officeDocument/2006/relationships/image" Target="../media/image2.png"/><Relationship Id="rId1" Type="http://schemas.openxmlformats.org/officeDocument/2006/relationships/hyperlink" Target="#'- AYUDA -'!A1"/><Relationship Id="rId6" Type="http://schemas.openxmlformats.org/officeDocument/2006/relationships/image" Target="../media/image8.jpg"/><Relationship Id="rId5" Type="http://schemas.openxmlformats.org/officeDocument/2006/relationships/hyperlink" Target="https://excelparatodos.com/blog/" TargetMode="External"/><Relationship Id="rId4" Type="http://schemas.openxmlformats.org/officeDocument/2006/relationships/image" Target="../media/image7.png"/><Relationship Id="rId9" Type="http://schemas.openxmlformats.org/officeDocument/2006/relationships/hyperlink" Target="#CONVERSOR!A1"/></Relationships>
</file>

<file path=xl/drawings/drawing1.xml><?xml version="1.0" encoding="utf-8"?>
<xdr:wsDr xmlns:xdr="http://schemas.openxmlformats.org/drawingml/2006/spreadsheetDrawing" xmlns:a="http://schemas.openxmlformats.org/drawingml/2006/main">
  <xdr:twoCellAnchor>
    <xdr:from>
      <xdr:col>1</xdr:col>
      <xdr:colOff>164976</xdr:colOff>
      <xdr:row>6</xdr:row>
      <xdr:rowOff>476250</xdr:rowOff>
    </xdr:from>
    <xdr:to>
      <xdr:col>7</xdr:col>
      <xdr:colOff>717176</xdr:colOff>
      <xdr:row>71</xdr:row>
      <xdr:rowOff>168088</xdr:rowOff>
    </xdr:to>
    <xdr:sp macro="" textlink="">
      <xdr:nvSpPr>
        <xdr:cNvPr id="2" name="TextBox 4">
          <a:extLst>
            <a:ext uri="{FF2B5EF4-FFF2-40B4-BE49-F238E27FC236}">
              <a16:creationId xmlns:a16="http://schemas.microsoft.com/office/drawing/2014/main" id="{00000000-0008-0000-0100-000002000000}"/>
            </a:ext>
          </a:extLst>
        </xdr:cNvPr>
        <xdr:cNvSpPr txBox="1"/>
      </xdr:nvSpPr>
      <xdr:spPr>
        <a:xfrm>
          <a:off x="299447" y="2470897"/>
          <a:ext cx="8149788" cy="13217338"/>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s-ES" sz="1800" baseline="0">
              <a:solidFill>
                <a:schemeClr val="tx1">
                  <a:lumMod val="65000"/>
                  <a:lumOff val="35000"/>
                </a:schemeClr>
              </a:solidFill>
              <a:latin typeface="+mj-lt"/>
            </a:rPr>
            <a:t>La plantilla para </a:t>
          </a:r>
          <a:r>
            <a:rPr lang="es-ES" sz="1800" b="1" baseline="0">
              <a:solidFill>
                <a:schemeClr val="tx1">
                  <a:lumMod val="65000"/>
                  <a:lumOff val="35000"/>
                </a:schemeClr>
              </a:solidFill>
              <a:latin typeface="+mj-lt"/>
            </a:rPr>
            <a:t>Control de vacaciones en excel</a:t>
          </a:r>
          <a:r>
            <a:rPr lang="es-ES" sz="1800" baseline="0">
              <a:solidFill>
                <a:schemeClr val="tx1">
                  <a:lumMod val="65000"/>
                  <a:lumOff val="35000"/>
                </a:schemeClr>
              </a:solidFill>
              <a:latin typeface="+mj-lt"/>
            </a:rPr>
            <a:t>, le permitirá gestionar el cálculo de vacaciones en días tomados y disponibles, así como la liquidación monetaria del periodo de vacaciones del empleado.</a:t>
          </a:r>
        </a:p>
        <a:p>
          <a:r>
            <a:rPr lang="es-ES" sz="1800" baseline="0">
              <a:solidFill>
                <a:schemeClr val="tx1">
                  <a:lumMod val="65000"/>
                  <a:lumOff val="35000"/>
                </a:schemeClr>
              </a:solidFill>
              <a:latin typeface="+mj-lt"/>
            </a:rPr>
            <a:t>Además la plantilla esta dotada de un calendario anual, para visualizar gráficamente el parte de programación de todos los empleados durante el año. Un cronograma de programación en el cual se excluyen los días festivos y no laborales parametrizados. En este caso están cargados los días festivos nacionales de España.</a:t>
          </a:r>
        </a:p>
        <a:p>
          <a:endParaRPr lang="es-ES" sz="1800" baseline="0">
            <a:solidFill>
              <a:schemeClr val="tx1">
                <a:lumMod val="65000"/>
                <a:lumOff val="35000"/>
              </a:schemeClr>
            </a:solidFill>
            <a:latin typeface="+mj-lt"/>
          </a:endParaRPr>
        </a:p>
        <a:p>
          <a:r>
            <a:rPr lang="es-ES" sz="1800" baseline="0">
              <a:solidFill>
                <a:schemeClr val="tx1">
                  <a:lumMod val="65000"/>
                  <a:lumOff val="35000"/>
                </a:schemeClr>
              </a:solidFill>
              <a:latin typeface="+mj-lt"/>
            </a:rPr>
            <a:t>Para usarla, sigue estos pasos:</a:t>
          </a:r>
        </a:p>
        <a:p>
          <a:endParaRPr lang="es-ES" sz="1800" baseline="0">
            <a:solidFill>
              <a:schemeClr val="tx1">
                <a:lumMod val="65000"/>
                <a:lumOff val="35000"/>
              </a:schemeClr>
            </a:solidFill>
            <a:latin typeface="+mj-lt"/>
          </a:endParaRPr>
        </a:p>
        <a:p>
          <a:r>
            <a:rPr lang="es-ES" sz="1800" baseline="0">
              <a:solidFill>
                <a:schemeClr val="tx1">
                  <a:lumMod val="65000"/>
                  <a:lumOff val="35000"/>
                </a:schemeClr>
              </a:solidFill>
              <a:latin typeface="+mj-lt"/>
            </a:rPr>
            <a:t>Navegue por los menús del principio de esta hoja, dando clic sobre 👉 PARAMETROS:</a:t>
          </a:r>
        </a:p>
        <a:p>
          <a:endParaRPr lang="es-ES" sz="1800" baseline="0">
            <a:solidFill>
              <a:schemeClr val="tx1">
                <a:lumMod val="65000"/>
                <a:lumOff val="35000"/>
              </a:schemeClr>
            </a:solidFill>
            <a:latin typeface="+mj-lt"/>
          </a:endParaRPr>
        </a:p>
        <a:p>
          <a:r>
            <a:rPr lang="es-ES" sz="1800">
              <a:solidFill>
                <a:schemeClr val="tx1">
                  <a:lumMod val="65000"/>
                  <a:lumOff val="35000"/>
                </a:schemeClr>
              </a:solidFill>
              <a:latin typeface="+mj-lt"/>
            </a:rPr>
            <a:t>Seleccione el año, la jornada laboral</a:t>
          </a:r>
          <a:r>
            <a:rPr lang="es-ES" sz="1800" baseline="0">
              <a:solidFill>
                <a:schemeClr val="tx1">
                  <a:lumMod val="65000"/>
                  <a:lumOff val="35000"/>
                </a:schemeClr>
              </a:solidFill>
              <a:latin typeface="+mj-lt"/>
            </a:rPr>
            <a:t> y los días de trabajo que correspoden a la semana.</a:t>
          </a:r>
        </a:p>
        <a:p>
          <a:endParaRPr lang="es-ES" sz="1800" b="0" baseline="0">
            <a:solidFill>
              <a:schemeClr val="tx1">
                <a:lumMod val="65000"/>
                <a:lumOff val="35000"/>
              </a:schemeClr>
            </a:solidFill>
            <a:latin typeface="+mj-lt"/>
          </a:endParaRPr>
        </a:p>
        <a:p>
          <a:r>
            <a:rPr lang="es-ES" sz="1800" b="0" baseline="0">
              <a:solidFill>
                <a:schemeClr val="tx1">
                  <a:lumMod val="65000"/>
                  <a:lumOff val="35000"/>
                </a:schemeClr>
              </a:solidFill>
              <a:latin typeface="+mj-lt"/>
            </a:rPr>
            <a:t>En la tabla: listados de festivos o no laborales, diligenciar fecha, celebración y concepto, la </a:t>
          </a:r>
          <a:r>
            <a:rPr lang="es-ES" sz="1800" b="1" baseline="0">
              <a:solidFill>
                <a:schemeClr val="tx1">
                  <a:lumMod val="65000"/>
                  <a:lumOff val="35000"/>
                </a:schemeClr>
              </a:solidFill>
              <a:latin typeface="+mj-lt"/>
            </a:rPr>
            <a:t>última columna, fecha presente esta fórmulada </a:t>
          </a:r>
          <a:r>
            <a:rPr lang="es-ES" sz="1800" b="1" baseline="0">
              <a:solidFill>
                <a:srgbClr val="FF0000"/>
              </a:solidFill>
              <a:latin typeface="+mj-lt"/>
            </a:rPr>
            <a:t>"NO TOCAR"</a:t>
          </a:r>
        </a:p>
        <a:p>
          <a:endParaRPr lang="es-ES" sz="1800" b="1" baseline="0">
            <a:solidFill>
              <a:srgbClr val="FF0000"/>
            </a:solidFill>
            <a:latin typeface="+mj-lt"/>
          </a:endParaRPr>
        </a:p>
        <a:p>
          <a:r>
            <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 </a:t>
          </a:r>
          <a:r>
            <a:rPr kumimoji="0" lang="es-ES" sz="1800" b="1"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LIQUIDACIÓN:  </a:t>
          </a:r>
          <a:r>
            <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Diligenciar para cada empleado los 3 cuerpos de la tabla, </a:t>
          </a:r>
          <a:r>
            <a:rPr kumimoji="0" lang="es-ES" sz="1800" b="1"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programación, disponibilidad y liquidación de vacaciones. </a:t>
          </a:r>
          <a:r>
            <a:rPr kumimoji="0" lang="es-ES" sz="1800" b="1" i="0" u="none" strike="noStrike" kern="0" cap="none" spc="0" normalizeH="0" baseline="0" noProof="0">
              <a:ln>
                <a:noFill/>
              </a:ln>
              <a:solidFill>
                <a:srgbClr val="FF0000"/>
              </a:solidFill>
              <a:effectLst/>
              <a:uLnTx/>
              <a:uFillTx/>
              <a:latin typeface="Calibri Light" panose="020F0302020204030204"/>
              <a:ea typeface="+mn-ea"/>
              <a:cs typeface="+mn-cs"/>
            </a:rPr>
            <a:t>NO TOCAR LOS CAMPOS QUE CONTIENEN FÓRMULAS</a:t>
          </a:r>
        </a:p>
        <a:p>
          <a:endParaRPr kumimoji="0" lang="es-ES" sz="1800" b="1" i="0" u="none" strike="noStrike" kern="0" cap="none" spc="0" normalizeH="0" baseline="0" noProof="0">
            <a:ln>
              <a:noFill/>
            </a:ln>
            <a:solidFill>
              <a:srgbClr val="FF0000"/>
            </a:solidFill>
            <a:effectLst/>
            <a:uLnTx/>
            <a:uFillTx/>
            <a:latin typeface="Calibri Light" panose="020F0302020204030204"/>
            <a:ea typeface="+mn-ea"/>
            <a:cs typeface="+mn-cs"/>
          </a:endParaRPr>
        </a:p>
        <a:p>
          <a:r>
            <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a:t>
          </a:r>
          <a:r>
            <a:rPr kumimoji="0" lang="es-ES" sz="1800" b="1"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CALENDARIO: </a:t>
          </a:r>
          <a:r>
            <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Esta hoja se actualizará automáticamente con la información de la hoja "liquidación". Es el cronograma con la programación anual de vacaciones. La hoja esta totalmente fórmulada y automatizada.</a:t>
          </a:r>
        </a:p>
        <a:p>
          <a:endPar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endParaRPr>
        </a:p>
        <a:p>
          <a:r>
            <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a:t>
          </a:r>
          <a:r>
            <a:rPr kumimoji="0" lang="es-ES" sz="1800" b="1"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DASHBOARD: </a:t>
          </a:r>
          <a:r>
            <a:rPr kumimoji="0" lang="es-ES" sz="1800" b="0" i="0" u="none" strike="noStrike" kern="0" cap="none" spc="0" normalizeH="0" baseline="0" noProof="0">
              <a:ln>
                <a:noFill/>
              </a:ln>
              <a:solidFill>
                <a:prstClr val="black">
                  <a:lumMod val="65000"/>
                  <a:lumOff val="35000"/>
                </a:prstClr>
              </a:solidFill>
              <a:effectLst/>
              <a:uLnTx/>
              <a:uFillTx/>
              <a:latin typeface="Calibri Light" panose="020F0302020204030204"/>
              <a:ea typeface="+mn-ea"/>
              <a:cs typeface="+mn-cs"/>
            </a:rPr>
            <a:t>Dashboard de resumen, con la información condensada sobre la liquidación y programación de las vacaciones. Tiene la opción de filtrar por área. El filtrado estado códificado en VBA por medio de un Combobox</a:t>
          </a:r>
          <a:endParaRPr lang="es-ES" sz="1800" b="1" baseline="0">
            <a:solidFill>
              <a:srgbClr val="FF0000"/>
            </a:solidFill>
            <a:latin typeface="+mj-lt"/>
          </a:endParaRPr>
        </a:p>
        <a:p>
          <a:endParaRPr lang="es-ES" sz="1800" b="0" baseline="0">
            <a:solidFill>
              <a:schemeClr val="tx1">
                <a:lumMod val="65000"/>
                <a:lumOff val="35000"/>
              </a:schemeClr>
            </a:solidFill>
            <a:latin typeface="+mj-lt"/>
          </a:endParaRPr>
        </a:p>
        <a:p>
          <a:r>
            <a:rPr lang="es-ES" sz="1800" b="1" baseline="0">
              <a:solidFill>
                <a:schemeClr val="tx1">
                  <a:lumMod val="65000"/>
                  <a:lumOff val="35000"/>
                </a:schemeClr>
              </a:solidFill>
              <a:latin typeface="+mj-lt"/>
            </a:rPr>
            <a:t>Siempre que se realice algún cambio en la plantilla se debe actualizar</a:t>
          </a:r>
        </a:p>
        <a:p>
          <a:endParaRPr lang="es-ES" sz="1800" b="1" baseline="0">
            <a:solidFill>
              <a:schemeClr val="tx1">
                <a:lumMod val="65000"/>
                <a:lumOff val="35000"/>
              </a:schemeClr>
            </a:solidFill>
            <a:latin typeface="+mj-lt"/>
          </a:endParaRPr>
        </a:p>
        <a:p>
          <a:r>
            <a:rPr lang="es-ES" sz="1800" b="1" baseline="0">
              <a:solidFill>
                <a:schemeClr val="tx1">
                  <a:lumMod val="65000"/>
                  <a:lumOff val="35000"/>
                </a:schemeClr>
              </a:solidFill>
              <a:latin typeface="+mj-lt"/>
            </a:rPr>
            <a:t>RESULTADO:</a:t>
          </a:r>
        </a:p>
        <a:p>
          <a:endParaRPr lang="es-ES" sz="1800" b="1" baseline="0">
            <a:solidFill>
              <a:schemeClr val="tx1">
                <a:lumMod val="65000"/>
                <a:lumOff val="35000"/>
              </a:schemeClr>
            </a:solidFill>
            <a:latin typeface="+mj-lt"/>
          </a:endParaRPr>
        </a:p>
        <a:p>
          <a:r>
            <a:rPr lang="es-ES" sz="1800" b="0" baseline="0">
              <a:solidFill>
                <a:schemeClr val="tx1">
                  <a:lumMod val="65000"/>
                  <a:lumOff val="35000"/>
                </a:schemeClr>
              </a:solidFill>
              <a:latin typeface="+mj-lt"/>
            </a:rPr>
            <a:t>✔Programará fácilmente las vacaciones de una plantilla de colaboradores, también podrá realizar la liquidación de los días tomados para el reporte de nomina.</a:t>
          </a:r>
        </a:p>
        <a:p>
          <a:endParaRPr lang="es-ES" sz="1800" b="0" baseline="0">
            <a:solidFill>
              <a:schemeClr val="tx1">
                <a:lumMod val="65000"/>
                <a:lumOff val="35000"/>
              </a:schemeClr>
            </a:solidFill>
            <a:latin typeface="+mj-lt"/>
          </a:endParaRPr>
        </a:p>
        <a:p>
          <a:r>
            <a:rPr lang="es-ES" sz="1800" b="0" baseline="0">
              <a:solidFill>
                <a:schemeClr val="tx1">
                  <a:lumMod val="65000"/>
                  <a:lumOff val="35000"/>
                </a:schemeClr>
              </a:solidFill>
              <a:latin typeface="+mj-lt"/>
            </a:rPr>
            <a:t>Tecnología: Plantilla en Excel para descargar, tablas de excel, buscarv, formato condicional, listas desplegables desde tablas, programación vba Combobox, Condicional IF, gráficos de barras apiladas, función DIA.LAB.INTL.</a:t>
          </a:r>
        </a:p>
        <a:p>
          <a:endParaRPr lang="es-ES" sz="1800" b="0" baseline="0">
            <a:solidFill>
              <a:schemeClr val="tx1">
                <a:lumMod val="65000"/>
                <a:lumOff val="35000"/>
              </a:schemeClr>
            </a:solidFill>
            <a:latin typeface="+mj-lt"/>
          </a:endParaRPr>
        </a:p>
        <a:p>
          <a:r>
            <a:rPr lang="es-ES" sz="1800" b="1" baseline="0">
              <a:solidFill>
                <a:srgbClr val="FF0000"/>
              </a:solidFill>
              <a:latin typeface="+mj-lt"/>
            </a:rPr>
            <a:t>Advertencia importante: </a:t>
          </a:r>
          <a:r>
            <a:rPr lang="es-ES" sz="1800" b="1" baseline="0">
              <a:solidFill>
                <a:sysClr val="windowText" lastClr="000000"/>
              </a:solidFill>
              <a:latin typeface="+mj-lt"/>
            </a:rPr>
            <a:t>Por ahora la plantilla esta configurada para la legislación laboral aplicable en COLOMBIA, ESPAÑA Y MÉXICO. </a:t>
          </a:r>
          <a:r>
            <a:rPr lang="es-ES" sz="1800" b="0" baseline="0">
              <a:solidFill>
                <a:srgbClr val="FF0000"/>
              </a:solidFill>
              <a:latin typeface="+mj-lt"/>
            </a:rPr>
            <a:t>Si requiere algún otro país deberá contactarnos.</a:t>
          </a:r>
        </a:p>
        <a:p>
          <a:r>
            <a:rPr lang="es-ES" sz="1800" b="0" baseline="0">
              <a:solidFill>
                <a:schemeClr val="tx1">
                  <a:lumMod val="65000"/>
                  <a:lumOff val="35000"/>
                </a:schemeClr>
              </a:solidFill>
              <a:latin typeface="+mj-lt"/>
            </a:rPr>
            <a:t>Plantilla aplicable para Excel en sistemas operativos Windows y Mac.</a:t>
          </a:r>
        </a:p>
      </xdr:txBody>
    </xdr:sp>
    <xdr:clientData/>
  </xdr:twoCellAnchor>
  <xdr:twoCellAnchor>
    <xdr:from>
      <xdr:col>7</xdr:col>
      <xdr:colOff>958103</xdr:colOff>
      <xdr:row>4</xdr:row>
      <xdr:rowOff>205317</xdr:rowOff>
    </xdr:from>
    <xdr:to>
      <xdr:col>11</xdr:col>
      <xdr:colOff>285003</xdr:colOff>
      <xdr:row>11</xdr:row>
      <xdr:rowOff>43579</xdr:rowOff>
    </xdr:to>
    <xdr:sp macro="" textlink="">
      <xdr:nvSpPr>
        <xdr:cNvPr id="3" name="TextBox 5">
          <a:extLst>
            <a:ext uri="{FF2B5EF4-FFF2-40B4-BE49-F238E27FC236}">
              <a16:creationId xmlns:a16="http://schemas.microsoft.com/office/drawing/2014/main" id="{00000000-0008-0000-0100-000003000000}"/>
            </a:ext>
          </a:extLst>
        </xdr:cNvPr>
        <xdr:cNvSpPr txBox="1"/>
      </xdr:nvSpPr>
      <xdr:spPr>
        <a:xfrm>
          <a:off x="8501903" y="1357842"/>
          <a:ext cx="4089400" cy="2000437"/>
        </a:xfrm>
        <a:prstGeom prst="rect">
          <a:avLst/>
        </a:prstGeom>
        <a:solidFill>
          <a:srgbClr val="FBFBF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274320" rIns="274320" bIns="274320" rtlCol="0" anchor="t"/>
        <a:lstStyle/>
        <a:p>
          <a:r>
            <a:rPr lang="en-US" sz="1800" b="1">
              <a:solidFill>
                <a:schemeClr val="tx1">
                  <a:lumMod val="65000"/>
                  <a:lumOff val="35000"/>
                </a:schemeClr>
              </a:solidFill>
            </a:rPr>
            <a:t>Más ayuda</a:t>
          </a:r>
        </a:p>
        <a:p>
          <a:endParaRPr lang="en-US" sz="800" b="1">
            <a:solidFill>
              <a:schemeClr val="tx1">
                <a:lumMod val="65000"/>
                <a:lumOff val="35000"/>
              </a:schemeClr>
            </a:solidFill>
          </a:endParaRPr>
        </a:p>
        <a:p>
          <a:r>
            <a:rPr lang="en-US" sz="1600">
              <a:solidFill>
                <a:schemeClr val="tx1">
                  <a:lumMod val="65000"/>
                  <a:lumOff val="35000"/>
                </a:schemeClr>
              </a:solidFill>
            </a:rPr>
            <a:t>Si quieres saber más sobre cómo usar esta plantilla,</a:t>
          </a:r>
          <a:r>
            <a:rPr lang="en-US" sz="1600" baseline="0">
              <a:solidFill>
                <a:schemeClr val="tx1">
                  <a:lumMod val="65000"/>
                  <a:lumOff val="35000"/>
                </a:schemeClr>
              </a:solidFill>
            </a:rPr>
            <a:t> o adaptarla, extenderla o corregir algún error, sigue este link y te ayudamos:</a:t>
          </a:r>
        </a:p>
        <a:p>
          <a:endParaRPr lang="en-US" sz="1600" baseline="0">
            <a:solidFill>
              <a:schemeClr val="tx1">
                <a:lumMod val="65000"/>
                <a:lumOff val="35000"/>
              </a:schemeClr>
            </a:solidFill>
          </a:endParaRPr>
        </a:p>
        <a:p>
          <a:endParaRPr lang="en-US" sz="1600">
            <a:solidFill>
              <a:schemeClr val="tx1">
                <a:lumMod val="65000"/>
                <a:lumOff val="35000"/>
              </a:schemeClr>
            </a:solidFill>
          </a:endParaRPr>
        </a:p>
        <a:p>
          <a:endParaRPr lang="en-US" sz="1600">
            <a:solidFill>
              <a:schemeClr val="tx1">
                <a:lumMod val="65000"/>
                <a:lumOff val="35000"/>
              </a:schemeClr>
            </a:solidFill>
          </a:endParaRPr>
        </a:p>
      </xdr:txBody>
    </xdr:sp>
    <xdr:clientData/>
  </xdr:twoCellAnchor>
  <xdr:twoCellAnchor>
    <xdr:from>
      <xdr:col>7</xdr:col>
      <xdr:colOff>610532</xdr:colOff>
      <xdr:row>8</xdr:row>
      <xdr:rowOff>187760</xdr:rowOff>
    </xdr:from>
    <xdr:to>
      <xdr:col>10</xdr:col>
      <xdr:colOff>747057</xdr:colOff>
      <xdr:row>10</xdr:row>
      <xdr:rowOff>100355</xdr:rowOff>
    </xdr:to>
    <xdr:sp macro="" textlink="">
      <xdr:nvSpPr>
        <xdr:cNvPr id="4" name="TextBox 8">
          <a:hlinkClick xmlns:r="http://schemas.openxmlformats.org/officeDocument/2006/relationships" r:id="rId1"/>
          <a:extLst>
            <a:ext uri="{FF2B5EF4-FFF2-40B4-BE49-F238E27FC236}">
              <a16:creationId xmlns:a16="http://schemas.microsoft.com/office/drawing/2014/main" id="{00000000-0008-0000-0100-000004000000}"/>
            </a:ext>
          </a:extLst>
        </xdr:cNvPr>
        <xdr:cNvSpPr txBox="1"/>
      </xdr:nvSpPr>
      <xdr:spPr>
        <a:xfrm>
          <a:off x="8344832" y="2902385"/>
          <a:ext cx="3441700" cy="312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0" rIns="274320" bIns="0" rtlCol="0" anchor="ctr"/>
        <a:lstStyle/>
        <a:p>
          <a:r>
            <a:rPr lang="en-US" sz="1600" b="1">
              <a:solidFill>
                <a:srgbClr val="12A779"/>
              </a:solidFill>
            </a:rPr>
            <a:t>Ver más ayuda →</a:t>
          </a:r>
        </a:p>
      </xdr:txBody>
    </xdr:sp>
    <xdr:clientData/>
  </xdr:twoCellAnchor>
  <xdr:oneCellAnchor>
    <xdr:from>
      <xdr:col>0</xdr:col>
      <xdr:colOff>19921</xdr:colOff>
      <xdr:row>1</xdr:row>
      <xdr:rowOff>32997</xdr:rowOff>
    </xdr:from>
    <xdr:ext cx="12620314" cy="639358"/>
    <xdr:sp macro="" textlink="">
      <xdr:nvSpPr>
        <xdr:cNvPr id="5" name="Rectángulo 4">
          <a:extLst>
            <a:ext uri="{FF2B5EF4-FFF2-40B4-BE49-F238E27FC236}">
              <a16:creationId xmlns:a16="http://schemas.microsoft.com/office/drawing/2014/main" id="{00000000-0008-0000-0100-000005000000}"/>
            </a:ext>
          </a:extLst>
        </xdr:cNvPr>
        <xdr:cNvSpPr/>
      </xdr:nvSpPr>
      <xdr:spPr>
        <a:xfrm>
          <a:off x="19921" y="690222"/>
          <a:ext cx="12620314" cy="639358"/>
        </a:xfrm>
        <a:prstGeom prst="rect">
          <a:avLst/>
        </a:prstGeom>
        <a:solidFill>
          <a:srgbClr val="00B050"/>
        </a:solidFill>
      </xdr:spPr>
      <xdr:txBody>
        <a:bodyPr wrap="square" lIns="91440" tIns="45720" rIns="91440" bIns="45720" anchor="ctr">
          <a:noAutofit/>
        </a:bodyPr>
        <a:lstStyle/>
        <a:p>
          <a:pPr algn="ctr"/>
          <a:r>
            <a:rPr lang="es-ES" sz="2800" b="1" cap="none" spc="0">
              <a:ln w="0"/>
              <a:solidFill>
                <a:schemeClr val="bg1"/>
              </a:solidFill>
              <a:effectLst>
                <a:outerShdw blurRad="38100" dist="25400" dir="5400000" algn="ctr" rotWithShape="0">
                  <a:srgbClr val="6E747A">
                    <a:alpha val="43000"/>
                  </a:srgbClr>
                </a:outerShdw>
              </a:effectLst>
            </a:rPr>
            <a:t>PROGRAMACIÓN Y CONTROL DE VACACIONES</a:t>
          </a:r>
          <a:endParaRPr lang="es-ES" sz="2200" b="1" cap="none" spc="0">
            <a:ln w="0"/>
            <a:solidFill>
              <a:schemeClr val="bg1"/>
            </a:solidFill>
            <a:effectLst>
              <a:outerShdw blurRad="38100" dist="25400" dir="5400000" algn="ctr" rotWithShape="0">
                <a:srgbClr val="6E747A">
                  <a:alpha val="43000"/>
                </a:srgbClr>
              </a:outerShdw>
            </a:effectLst>
          </a:endParaRPr>
        </a:p>
      </xdr:txBody>
    </xdr:sp>
    <xdr:clientData/>
  </xdr:oneCellAnchor>
  <xdr:twoCellAnchor>
    <xdr:from>
      <xdr:col>9</xdr:col>
      <xdr:colOff>403411</xdr:colOff>
      <xdr:row>9</xdr:row>
      <xdr:rowOff>0</xdr:rowOff>
    </xdr:from>
    <xdr:to>
      <xdr:col>10</xdr:col>
      <xdr:colOff>927848</xdr:colOff>
      <xdr:row>11</xdr:row>
      <xdr:rowOff>112619</xdr:rowOff>
    </xdr:to>
    <xdr:grpSp>
      <xdr:nvGrpSpPr>
        <xdr:cNvPr id="6" name="Grupo 5">
          <a:hlinkClick xmlns:r="http://schemas.openxmlformats.org/officeDocument/2006/relationships" r:id="rId2"/>
          <a:extLst>
            <a:ext uri="{FF2B5EF4-FFF2-40B4-BE49-F238E27FC236}">
              <a16:creationId xmlns:a16="http://schemas.microsoft.com/office/drawing/2014/main" id="{00000000-0008-0000-0100-000006000000}"/>
            </a:ext>
          </a:extLst>
        </xdr:cNvPr>
        <xdr:cNvGrpSpPr/>
      </xdr:nvGrpSpPr>
      <xdr:grpSpPr>
        <a:xfrm>
          <a:off x="10174940" y="2924735"/>
          <a:ext cx="1790702" cy="516031"/>
          <a:chOff x="12496800" y="66675"/>
          <a:chExt cx="1790701" cy="514349"/>
        </a:xfrm>
      </xdr:grpSpPr>
      <xdr:pic>
        <xdr:nvPicPr>
          <xdr:cNvPr id="7" name="Imagen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496800" y="66675"/>
            <a:ext cx="514349" cy="514349"/>
          </a:xfrm>
          <a:prstGeom prst="rect">
            <a:avLst/>
          </a:prstGeom>
        </xdr:spPr>
      </xdr:pic>
      <xdr:sp macro="" textlink="">
        <xdr:nvSpPr>
          <xdr:cNvPr id="8" name="Rectángulo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13011151" y="114300"/>
            <a:ext cx="1276350" cy="409575"/>
          </a:xfrm>
          <a:prstGeom prst="rect">
            <a:avLst/>
          </a:prstGeom>
          <a:solidFill>
            <a:sysClr val="window" lastClr="FFFFFF"/>
          </a:solidFill>
        </xdr:spPr>
        <xdr:txBody>
          <a:bodyPr wrap="square" lIns="91440" tIns="45720" rIns="91440" bIns="45720" anchor="ctr">
            <a:noAutofit/>
          </a:bodyPr>
          <a:lstStyle/>
          <a:p>
            <a:pPr algn="ctr"/>
            <a:r>
              <a:rPr lang="es-ES" sz="1200" b="1" cap="none" spc="0">
                <a:ln w="0"/>
                <a:solidFill>
                  <a:sysClr val="windowText" lastClr="000000"/>
                </a:solidFill>
                <a:effectLst>
                  <a:outerShdw blurRad="38100" dist="25400" dir="5400000" algn="ctr" rotWithShape="0">
                    <a:srgbClr val="6E747A">
                      <a:alpha val="43000"/>
                    </a:srgbClr>
                  </a:outerShdw>
                </a:effectLst>
              </a:rPr>
              <a:t>Excel</a:t>
            </a:r>
            <a:r>
              <a:rPr lang="es-ES" sz="1200" b="1" cap="none" spc="0" baseline="0">
                <a:ln w="0"/>
                <a:solidFill>
                  <a:sysClr val="windowText" lastClr="000000"/>
                </a:solidFill>
                <a:effectLst>
                  <a:outerShdw blurRad="38100" dist="25400" dir="5400000" algn="ctr" rotWithShape="0">
                    <a:srgbClr val="6E747A">
                      <a:alpha val="43000"/>
                    </a:srgbClr>
                  </a:outerShdw>
                </a:effectLst>
              </a:rPr>
              <a:t> para Todos</a:t>
            </a:r>
            <a:endParaRPr lang="es-ES" sz="1200" b="1" cap="none" spc="0">
              <a:ln w="0"/>
              <a:solidFill>
                <a:sysClr val="windowText" lastClr="000000"/>
              </a:solidFill>
              <a:effectLst>
                <a:outerShdw blurRad="38100" dist="25400" dir="5400000" algn="ctr" rotWithShape="0">
                  <a:srgbClr val="6E747A">
                    <a:alpha val="43000"/>
                  </a:srgbClr>
                </a:outerShdw>
              </a:effectLst>
            </a:endParaRPr>
          </a:p>
        </xdr:txBody>
      </xdr:sp>
    </xdr:grpSp>
    <xdr:clientData/>
  </xdr:twoCellAnchor>
  <xdr:twoCellAnchor editAs="oneCell">
    <xdr:from>
      <xdr:col>1</xdr:col>
      <xdr:colOff>224114</xdr:colOff>
      <xdr:row>0</xdr:row>
      <xdr:rowOff>11207</xdr:rowOff>
    </xdr:from>
    <xdr:to>
      <xdr:col>2</xdr:col>
      <xdr:colOff>773206</xdr:colOff>
      <xdr:row>0</xdr:row>
      <xdr:rowOff>649942</xdr:rowOff>
    </xdr:to>
    <xdr:sp macro="" textlink="">
      <xdr:nvSpPr>
        <xdr:cNvPr id="9" name="Rectángulo 8">
          <a:extLst>
            <a:ext uri="{FF2B5EF4-FFF2-40B4-BE49-F238E27FC236}">
              <a16:creationId xmlns:a16="http://schemas.microsoft.com/office/drawing/2014/main" id="{00000000-0008-0000-0100-000009000000}"/>
            </a:ext>
          </a:extLst>
        </xdr:cNvPr>
        <xdr:cNvSpPr/>
      </xdr:nvSpPr>
      <xdr:spPr>
        <a:xfrm>
          <a:off x="357464" y="11207"/>
          <a:ext cx="1815917" cy="638735"/>
        </a:xfrm>
        <a:prstGeom prst="rect">
          <a:avLst/>
        </a:prstGeom>
        <a:solidFill>
          <a:srgbClr val="00B050"/>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s-ES" sz="2200" b="1">
              <a:solidFill>
                <a:schemeClr val="bg1"/>
              </a:solidFill>
              <a:latin typeface="Arial" panose="020B0604020202020204" pitchFamily="34" charset="0"/>
              <a:cs typeface="Arial" panose="020B0604020202020204" pitchFamily="34" charset="0"/>
            </a:rPr>
            <a:t>AYUDA</a:t>
          </a:r>
        </a:p>
      </xdr:txBody>
    </xdr:sp>
    <xdr:clientData/>
  </xdr:twoCellAnchor>
  <xdr:twoCellAnchor>
    <xdr:from>
      <xdr:col>7</xdr:col>
      <xdr:colOff>1176618</xdr:colOff>
      <xdr:row>11</xdr:row>
      <xdr:rowOff>134470</xdr:rowOff>
    </xdr:from>
    <xdr:to>
      <xdr:col>11</xdr:col>
      <xdr:colOff>234577</xdr:colOff>
      <xdr:row>22</xdr:row>
      <xdr:rowOff>134470</xdr:rowOff>
    </xdr:to>
    <xdr:sp macro="" textlink="">
      <xdr:nvSpPr>
        <xdr:cNvPr id="10" name="TextBox 5">
          <a:hlinkClick xmlns:r="http://schemas.openxmlformats.org/officeDocument/2006/relationships" r:id="rId4"/>
          <a:extLst>
            <a:ext uri="{FF2B5EF4-FFF2-40B4-BE49-F238E27FC236}">
              <a16:creationId xmlns:a16="http://schemas.microsoft.com/office/drawing/2014/main" id="{00000000-0008-0000-0100-00000A000000}"/>
            </a:ext>
          </a:extLst>
        </xdr:cNvPr>
        <xdr:cNvSpPr txBox="1"/>
      </xdr:nvSpPr>
      <xdr:spPr>
        <a:xfrm>
          <a:off x="8501343" y="3449170"/>
          <a:ext cx="4039534" cy="2200275"/>
        </a:xfrm>
        <a:prstGeom prst="rect">
          <a:avLst/>
        </a:prstGeom>
        <a:solidFill>
          <a:schemeClr val="accent3">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274320" tIns="274320" rIns="274320" bIns="274320" rtlCol="0" anchor="t"/>
        <a:lstStyle/>
        <a:p>
          <a:r>
            <a:rPr lang="en-US" sz="1800" b="1">
              <a:solidFill>
                <a:schemeClr val="tx1"/>
              </a:solidFill>
            </a:rPr>
            <a:t>Interesado en aprender EXCEL?</a:t>
          </a:r>
        </a:p>
        <a:p>
          <a:r>
            <a:rPr lang="en-US" sz="1600" baseline="0">
              <a:solidFill>
                <a:schemeClr val="tx1">
                  <a:lumMod val="65000"/>
                  <a:lumOff val="35000"/>
                </a:schemeClr>
              </a:solidFill>
            </a:rPr>
            <a:t>Llego la hora que aproveches mejor tu tiempo, o obtengas una mejor posición en tu trabajo. No lo dejes para después. Fórmate en Excel AHORA.</a:t>
          </a:r>
        </a:p>
        <a:p>
          <a:endParaRPr lang="en-US" sz="1600" baseline="0">
            <a:solidFill>
              <a:schemeClr val="tx1">
                <a:lumMod val="65000"/>
                <a:lumOff val="35000"/>
              </a:schemeClr>
            </a:solidFill>
          </a:endParaRPr>
        </a:p>
      </xdr:txBody>
    </xdr:sp>
    <xdr:clientData/>
  </xdr:twoCellAnchor>
  <xdr:twoCellAnchor>
    <xdr:from>
      <xdr:col>7</xdr:col>
      <xdr:colOff>1176617</xdr:colOff>
      <xdr:row>19</xdr:row>
      <xdr:rowOff>123270</xdr:rowOff>
    </xdr:from>
    <xdr:to>
      <xdr:col>11</xdr:col>
      <xdr:colOff>257735</xdr:colOff>
      <xdr:row>22</xdr:row>
      <xdr:rowOff>179299</xdr:rowOff>
    </xdr:to>
    <xdr:sp macro="" textlink="">
      <xdr:nvSpPr>
        <xdr:cNvPr id="11" name="Rectángulo: esquinas redondeadas 10">
          <a:hlinkClick xmlns:r="http://schemas.openxmlformats.org/officeDocument/2006/relationships" r:id="rId4"/>
          <a:extLst>
            <a:ext uri="{FF2B5EF4-FFF2-40B4-BE49-F238E27FC236}">
              <a16:creationId xmlns:a16="http://schemas.microsoft.com/office/drawing/2014/main" id="{00000000-0008-0000-0100-00000B000000}"/>
            </a:ext>
          </a:extLst>
        </xdr:cNvPr>
        <xdr:cNvSpPr/>
      </xdr:nvSpPr>
      <xdr:spPr>
        <a:xfrm>
          <a:off x="8501342" y="5038170"/>
          <a:ext cx="4062693" cy="656104"/>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2000" b="1">
              <a:solidFill>
                <a:schemeClr val="tx1"/>
              </a:solidFill>
            </a:rPr>
            <a:t>📊CURSO DE EXCEL ONLINE</a:t>
          </a:r>
        </a:p>
      </xdr:txBody>
    </xdr:sp>
    <xdr:clientData/>
  </xdr:twoCellAnchor>
  <xdr:twoCellAnchor editAs="oneCell">
    <xdr:from>
      <xdr:col>7</xdr:col>
      <xdr:colOff>459441</xdr:colOff>
      <xdr:row>0</xdr:row>
      <xdr:rowOff>0</xdr:rowOff>
    </xdr:from>
    <xdr:to>
      <xdr:col>9</xdr:col>
      <xdr:colOff>818030</xdr:colOff>
      <xdr:row>0</xdr:row>
      <xdr:rowOff>638735</xdr:rowOff>
    </xdr:to>
    <xdr:sp macro="" textlink="">
      <xdr:nvSpPr>
        <xdr:cNvPr id="12" name="Rectángulo 11">
          <a:hlinkClick xmlns:r="http://schemas.openxmlformats.org/officeDocument/2006/relationships" r:id="rId5"/>
          <a:extLst>
            <a:ext uri="{FF2B5EF4-FFF2-40B4-BE49-F238E27FC236}">
              <a16:creationId xmlns:a16="http://schemas.microsoft.com/office/drawing/2014/main" id="{00000000-0008-0000-0100-00000C000000}"/>
            </a:ext>
          </a:extLst>
        </xdr:cNvPr>
        <xdr:cNvSpPr/>
      </xdr:nvSpPr>
      <xdr:spPr>
        <a:xfrm>
          <a:off x="8191500" y="0"/>
          <a:ext cx="2398059" cy="638735"/>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s-ES" sz="2200" b="1">
              <a:solidFill>
                <a:schemeClr val="bg1"/>
              </a:solidFill>
              <a:latin typeface="Arial" panose="020B0604020202020204" pitchFamily="34" charset="0"/>
              <a:cs typeface="Arial" panose="020B0604020202020204" pitchFamily="34" charset="0"/>
            </a:rPr>
            <a:t>SUGERENCIAS</a:t>
          </a:r>
        </a:p>
      </xdr:txBody>
    </xdr:sp>
    <xdr:clientData/>
  </xdr:twoCellAnchor>
  <xdr:twoCellAnchor editAs="oneCell">
    <xdr:from>
      <xdr:col>9</xdr:col>
      <xdr:colOff>739588</xdr:colOff>
      <xdr:row>0</xdr:row>
      <xdr:rowOff>44824</xdr:rowOff>
    </xdr:from>
    <xdr:to>
      <xdr:col>10</xdr:col>
      <xdr:colOff>69475</xdr:colOff>
      <xdr:row>0</xdr:row>
      <xdr:rowOff>640976</xdr:rowOff>
    </xdr:to>
    <xdr:pic>
      <xdr:nvPicPr>
        <xdr:cNvPr id="13" name="Imagen 12">
          <a:hlinkClick xmlns:r="http://schemas.openxmlformats.org/officeDocument/2006/relationships" r:id="rId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511117" y="44824"/>
          <a:ext cx="596152" cy="596152"/>
        </a:xfrm>
        <a:prstGeom prst="rect">
          <a:avLst/>
        </a:prstGeom>
      </xdr:spPr>
    </xdr:pic>
    <xdr:clientData/>
  </xdr:twoCellAnchor>
  <xdr:twoCellAnchor>
    <xdr:from>
      <xdr:col>9</xdr:col>
      <xdr:colOff>1255059</xdr:colOff>
      <xdr:row>0</xdr:row>
      <xdr:rowOff>156882</xdr:rowOff>
    </xdr:from>
    <xdr:to>
      <xdr:col>12</xdr:col>
      <xdr:colOff>0</xdr:colOff>
      <xdr:row>0</xdr:row>
      <xdr:rowOff>481853</xdr:rowOff>
    </xdr:to>
    <xdr:sp macro="" textlink="">
      <xdr:nvSpPr>
        <xdr:cNvPr id="14" name="CuadroTexto 13">
          <a:extLst>
            <a:ext uri="{FF2B5EF4-FFF2-40B4-BE49-F238E27FC236}">
              <a16:creationId xmlns:a16="http://schemas.microsoft.com/office/drawing/2014/main" id="{00000000-0008-0000-0100-00000E000000}"/>
            </a:ext>
          </a:extLst>
        </xdr:cNvPr>
        <xdr:cNvSpPr txBox="1"/>
      </xdr:nvSpPr>
      <xdr:spPr>
        <a:xfrm>
          <a:off x="11026588" y="156882"/>
          <a:ext cx="1613647" cy="324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300" b="1">
              <a:solidFill>
                <a:schemeClr val="bg1"/>
              </a:solidFill>
            </a:rPr>
            <a:t>Excel para Todos</a:t>
          </a:r>
        </a:p>
      </xdr:txBody>
    </xdr:sp>
    <xdr:clientData/>
  </xdr:twoCellAnchor>
  <xdr:oneCellAnchor>
    <xdr:from>
      <xdr:col>2</xdr:col>
      <xdr:colOff>885267</xdr:colOff>
      <xdr:row>0</xdr:row>
      <xdr:rowOff>22413</xdr:rowOff>
    </xdr:from>
    <xdr:ext cx="1916204" cy="560293"/>
    <xdr:sp macro="" textlink="">
      <xdr:nvSpPr>
        <xdr:cNvPr id="15" name="Rectángulo 14">
          <a:hlinkClick xmlns:r="http://schemas.openxmlformats.org/officeDocument/2006/relationships" r:id="rId7"/>
          <a:extLst>
            <a:ext uri="{FF2B5EF4-FFF2-40B4-BE49-F238E27FC236}">
              <a16:creationId xmlns:a16="http://schemas.microsoft.com/office/drawing/2014/main" id="{00000000-0008-0000-0100-00000F000000}"/>
            </a:ext>
          </a:extLst>
        </xdr:cNvPr>
        <xdr:cNvSpPr/>
      </xdr:nvSpPr>
      <xdr:spPr>
        <a:xfrm>
          <a:off x="2286002" y="22413"/>
          <a:ext cx="1916204" cy="560293"/>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1600" b="1">
              <a:solidFill>
                <a:schemeClr val="bg1"/>
              </a:solidFill>
              <a:latin typeface="Arial" panose="020B0604020202020204" pitchFamily="34" charset="0"/>
              <a:ea typeface="+mn-ea"/>
              <a:cs typeface="Arial" panose="020B0604020202020204" pitchFamily="34" charset="0"/>
            </a:rPr>
            <a:t>PARAMETROS</a:t>
          </a:r>
        </a:p>
      </xdr:txBody>
    </xdr:sp>
    <xdr:clientData/>
  </xdr:oneCellAnchor>
  <xdr:twoCellAnchor>
    <xdr:from>
      <xdr:col>7</xdr:col>
      <xdr:colOff>761999</xdr:colOff>
      <xdr:row>23</xdr:row>
      <xdr:rowOff>44823</xdr:rowOff>
    </xdr:from>
    <xdr:to>
      <xdr:col>11</xdr:col>
      <xdr:colOff>252692</xdr:colOff>
      <xdr:row>27</xdr:row>
      <xdr:rowOff>78441</xdr:rowOff>
    </xdr:to>
    <xdr:sp macro="" textlink="">
      <xdr:nvSpPr>
        <xdr:cNvPr id="16" name="Rectángulo: esquinas redondeada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8496299" y="5759823"/>
          <a:ext cx="4062693" cy="833718"/>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s-ES" sz="2000" b="1">
              <a:solidFill>
                <a:schemeClr val="tx1"/>
              </a:solidFill>
            </a:rPr>
            <a:t>QUIERES</a:t>
          </a:r>
          <a:r>
            <a:rPr lang="es-ES" sz="2000" b="1" baseline="0">
              <a:solidFill>
                <a:schemeClr val="tx1"/>
              </a:solidFill>
            </a:rPr>
            <a:t> SABER TU NIVEL DE EXCEL ¿?</a:t>
          </a:r>
          <a:endParaRPr lang="es-ES" sz="2000" b="1">
            <a:solidFill>
              <a:schemeClr val="tx1"/>
            </a:solidFill>
          </a:endParaRPr>
        </a:p>
      </xdr:txBody>
    </xdr:sp>
    <xdr:clientData/>
  </xdr:twoCellAnchor>
  <xdr:twoCellAnchor editAs="oneCell">
    <xdr:from>
      <xdr:col>6</xdr:col>
      <xdr:colOff>168089</xdr:colOff>
      <xdr:row>48</xdr:row>
      <xdr:rowOff>156882</xdr:rowOff>
    </xdr:from>
    <xdr:to>
      <xdr:col>6</xdr:col>
      <xdr:colOff>549089</xdr:colOff>
      <xdr:row>50</xdr:row>
      <xdr:rowOff>134470</xdr:rowOff>
    </xdr:to>
    <xdr:pic>
      <xdr:nvPicPr>
        <xdr:cNvPr id="17" name="Imagen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9"/>
        <a:stretch>
          <a:fillRect/>
        </a:stretch>
      </xdr:blipFill>
      <xdr:spPr>
        <a:xfrm>
          <a:off x="6633883" y="11037794"/>
          <a:ext cx="381000" cy="381000"/>
        </a:xfrm>
        <a:prstGeom prst="rect">
          <a:avLst/>
        </a:prstGeom>
      </xdr:spPr>
    </xdr:pic>
    <xdr:clientData/>
  </xdr:twoCellAnchor>
  <xdr:oneCellAnchor>
    <xdr:from>
      <xdr:col>4</xdr:col>
      <xdr:colOff>201706</xdr:colOff>
      <xdr:row>0</xdr:row>
      <xdr:rowOff>22412</xdr:rowOff>
    </xdr:from>
    <xdr:ext cx="1703294" cy="582706"/>
    <xdr:sp macro="" textlink="">
      <xdr:nvSpPr>
        <xdr:cNvPr id="18" name="Rectángulo 17">
          <a:hlinkClick xmlns:r="http://schemas.openxmlformats.org/officeDocument/2006/relationships" r:id="rId10"/>
          <a:extLst>
            <a:ext uri="{FF2B5EF4-FFF2-40B4-BE49-F238E27FC236}">
              <a16:creationId xmlns:a16="http://schemas.microsoft.com/office/drawing/2014/main" id="{00000000-0008-0000-0100-000012000000}"/>
            </a:ext>
          </a:extLst>
        </xdr:cNvPr>
        <xdr:cNvSpPr/>
      </xdr:nvSpPr>
      <xdr:spPr>
        <a:xfrm>
          <a:off x="4134971" y="22412"/>
          <a:ext cx="1703294" cy="582706"/>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1600" b="1">
              <a:solidFill>
                <a:schemeClr val="bg1"/>
              </a:solidFill>
              <a:latin typeface="Arial" panose="020B0604020202020204" pitchFamily="34" charset="0"/>
              <a:ea typeface="+mn-ea"/>
              <a:cs typeface="Arial" panose="020B0604020202020204" pitchFamily="34" charset="0"/>
            </a:rPr>
            <a:t>LIQUIDACIÓN</a:t>
          </a:r>
        </a:p>
      </xdr:txBody>
    </xdr:sp>
    <xdr:clientData/>
  </xdr:oneCellAnchor>
  <xdr:oneCellAnchor>
    <xdr:from>
      <xdr:col>5</xdr:col>
      <xdr:colOff>773207</xdr:colOff>
      <xdr:row>0</xdr:row>
      <xdr:rowOff>0</xdr:rowOff>
    </xdr:from>
    <xdr:ext cx="1703294" cy="582706"/>
    <xdr:sp macro="" textlink="">
      <xdr:nvSpPr>
        <xdr:cNvPr id="19" name="Rectángulo 18">
          <a:hlinkClick xmlns:r="http://schemas.openxmlformats.org/officeDocument/2006/relationships" r:id="rId11"/>
          <a:extLst>
            <a:ext uri="{FF2B5EF4-FFF2-40B4-BE49-F238E27FC236}">
              <a16:creationId xmlns:a16="http://schemas.microsoft.com/office/drawing/2014/main" id="{00000000-0008-0000-0100-000013000000}"/>
            </a:ext>
          </a:extLst>
        </xdr:cNvPr>
        <xdr:cNvSpPr/>
      </xdr:nvSpPr>
      <xdr:spPr>
        <a:xfrm>
          <a:off x="5972736" y="0"/>
          <a:ext cx="1703294" cy="582706"/>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1600" b="1">
              <a:solidFill>
                <a:schemeClr val="bg1"/>
              </a:solidFill>
              <a:latin typeface="Arial" panose="020B0604020202020204" pitchFamily="34" charset="0"/>
              <a:ea typeface="+mn-ea"/>
              <a:cs typeface="Arial" panose="020B0604020202020204" pitchFamily="34" charset="0"/>
            </a:rPr>
            <a:t>CALENDARIO</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857250</xdr:colOff>
          <xdr:row>3</xdr:row>
          <xdr:rowOff>9525</xdr:rowOff>
        </xdr:from>
        <xdr:to>
          <xdr:col>2</xdr:col>
          <xdr:colOff>352425</xdr:colOff>
          <xdr:row>4</xdr:row>
          <xdr:rowOff>9525</xdr:rowOff>
        </xdr:to>
        <xdr:sp macro="" textlink="">
          <xdr:nvSpPr>
            <xdr:cNvPr id="2054" name="Scroll Bar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31750</xdr:colOff>
      <xdr:row>10</xdr:row>
      <xdr:rowOff>31750</xdr:rowOff>
    </xdr:from>
    <xdr:to>
      <xdr:col>17</xdr:col>
      <xdr:colOff>0</xdr:colOff>
      <xdr:row>32</xdr:row>
      <xdr:rowOff>91017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222250</xdr:colOff>
      <xdr:row>0</xdr:row>
      <xdr:rowOff>0</xdr:rowOff>
    </xdr:from>
    <xdr:to>
      <xdr:col>6</xdr:col>
      <xdr:colOff>433387</xdr:colOff>
      <xdr:row>8</xdr:row>
      <xdr:rowOff>38100</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317500</xdr:colOff>
      <xdr:row>2</xdr:row>
      <xdr:rowOff>162982</xdr:rowOff>
    </xdr:from>
    <xdr:to>
      <xdr:col>5</xdr:col>
      <xdr:colOff>742952</xdr:colOff>
      <xdr:row>7</xdr:row>
      <xdr:rowOff>21166</xdr:rowOff>
    </xdr:to>
    <xdr:sp macro="" textlink="E6">
      <xdr:nvSpPr>
        <xdr:cNvPr id="5" name="Elipse 4">
          <a:extLst>
            <a:ext uri="{FF2B5EF4-FFF2-40B4-BE49-F238E27FC236}">
              <a16:creationId xmlns:a16="http://schemas.microsoft.com/office/drawing/2014/main" id="{00000000-0008-0000-0500-000005000000}"/>
            </a:ext>
          </a:extLst>
        </xdr:cNvPr>
        <xdr:cNvSpPr/>
      </xdr:nvSpPr>
      <xdr:spPr>
        <a:xfrm>
          <a:off x="4804833" y="522815"/>
          <a:ext cx="1409702" cy="1032934"/>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7CA32D5-CC22-47C8-9462-DB0E6DC20971}" type="TxLink">
            <a:rPr lang="en-US" sz="2400" b="1" i="0" u="none" strike="noStrike">
              <a:solidFill>
                <a:schemeClr val="bg1"/>
              </a:solidFill>
              <a:latin typeface="Arial"/>
              <a:cs typeface="Arial"/>
            </a:rPr>
            <a:pPr algn="ctr"/>
            <a:t>124%</a:t>
          </a:fld>
          <a:endParaRPr lang="es-ES" sz="2400">
            <a:solidFill>
              <a:schemeClr val="bg1"/>
            </a:solidFill>
          </a:endParaRPr>
        </a:p>
      </xdr:txBody>
    </xdr:sp>
    <xdr:clientData/>
  </xdr:twoCellAnchor>
  <xdr:twoCellAnchor>
    <xdr:from>
      <xdr:col>3</xdr:col>
      <xdr:colOff>409575</xdr:colOff>
      <xdr:row>1</xdr:row>
      <xdr:rowOff>76200</xdr:rowOff>
    </xdr:from>
    <xdr:to>
      <xdr:col>4</xdr:col>
      <xdr:colOff>104775</xdr:colOff>
      <xdr:row>7</xdr:row>
      <xdr:rowOff>76200</xdr:rowOff>
    </xdr:to>
    <xdr:sp macro="" textlink="">
      <xdr:nvSpPr>
        <xdr:cNvPr id="6" name="CuadroTexto 5">
          <a:extLst>
            <a:ext uri="{FF2B5EF4-FFF2-40B4-BE49-F238E27FC236}">
              <a16:creationId xmlns:a16="http://schemas.microsoft.com/office/drawing/2014/main" id="{00000000-0008-0000-0500-000006000000}"/>
            </a:ext>
          </a:extLst>
        </xdr:cNvPr>
        <xdr:cNvSpPr txBox="1"/>
      </xdr:nvSpPr>
      <xdr:spPr>
        <a:xfrm>
          <a:off x="4060825" y="256117"/>
          <a:ext cx="531283" cy="13546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ctr"/>
          <a:r>
            <a:rPr lang="es-ES" sz="1600" b="1">
              <a:solidFill>
                <a:schemeClr val="bg1"/>
              </a:solidFill>
              <a:latin typeface="Arial" panose="020B0604020202020204" pitchFamily="34" charset="0"/>
              <a:cs typeface="Arial" panose="020B0604020202020204" pitchFamily="34" charset="0"/>
            </a:rPr>
            <a:t>EJECUCIÓN</a:t>
          </a:r>
        </a:p>
      </xdr:txBody>
    </xdr:sp>
    <xdr:clientData/>
  </xdr:twoCellAnchor>
  <xdr:twoCellAnchor>
    <xdr:from>
      <xdr:col>6</xdr:col>
      <xdr:colOff>508000</xdr:colOff>
      <xdr:row>2</xdr:row>
      <xdr:rowOff>0</xdr:rowOff>
    </xdr:from>
    <xdr:to>
      <xdr:col>8</xdr:col>
      <xdr:colOff>402167</xdr:colOff>
      <xdr:row>4</xdr:row>
      <xdr:rowOff>63500</xdr:rowOff>
    </xdr:to>
    <xdr:sp macro="" textlink="$H$4">
      <xdr:nvSpPr>
        <xdr:cNvPr id="7" name="CuadroTexto 6">
          <a:extLst>
            <a:ext uri="{FF2B5EF4-FFF2-40B4-BE49-F238E27FC236}">
              <a16:creationId xmlns:a16="http://schemas.microsoft.com/office/drawing/2014/main" id="{00000000-0008-0000-0500-000007000000}"/>
            </a:ext>
          </a:extLst>
        </xdr:cNvPr>
        <xdr:cNvSpPr txBox="1"/>
      </xdr:nvSpPr>
      <xdr:spPr>
        <a:xfrm>
          <a:off x="6815667" y="359833"/>
          <a:ext cx="1259417" cy="497417"/>
        </a:xfrm>
        <a:prstGeom prst="rect">
          <a:avLst/>
        </a:prstGeom>
        <a:solidFill>
          <a:schemeClr val="accent5">
            <a:lumMod val="60000"/>
            <a:lumOff val="40000"/>
          </a:schemeClr>
        </a:solidFill>
        <a:ln/>
        <a:effectLst>
          <a:softEdge rad="12700"/>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fld id="{CD8AC67D-FE3F-498B-A4EC-547978CF3801}" type="TxLink">
            <a:rPr lang="en-US" sz="2300" b="1" i="0" u="none" strike="noStrike">
              <a:solidFill>
                <a:sysClr val="windowText" lastClr="000000"/>
              </a:solidFill>
              <a:latin typeface="Impact" panose="020B0806030902050204" pitchFamily="34" charset="0"/>
              <a:cs typeface="Arial"/>
            </a:rPr>
            <a:pPr algn="ctr"/>
            <a:t> 190,0 </a:t>
          </a:fld>
          <a:endParaRPr lang="es-ES" sz="2300">
            <a:solidFill>
              <a:sysClr val="windowText" lastClr="000000"/>
            </a:solidFill>
            <a:latin typeface="Impact" panose="020B0806030902050204" pitchFamily="34" charset="0"/>
          </a:endParaRPr>
        </a:p>
      </xdr:txBody>
    </xdr:sp>
    <xdr:clientData/>
  </xdr:twoCellAnchor>
  <xdr:twoCellAnchor editAs="oneCell">
    <xdr:from>
      <xdr:col>0</xdr:col>
      <xdr:colOff>127001</xdr:colOff>
      <xdr:row>0</xdr:row>
      <xdr:rowOff>105833</xdr:rowOff>
    </xdr:from>
    <xdr:to>
      <xdr:col>0</xdr:col>
      <xdr:colOff>751418</xdr:colOff>
      <xdr:row>3</xdr:row>
      <xdr:rowOff>190500</xdr:rowOff>
    </xdr:to>
    <xdr:pic>
      <xdr:nvPicPr>
        <xdr:cNvPr id="9" name="Imagen 8">
          <a:hlinkClick xmlns:r="http://schemas.openxmlformats.org/officeDocument/2006/relationships" r:id="rId3"/>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stretch>
          <a:fillRect/>
        </a:stretch>
      </xdr:blipFill>
      <xdr:spPr>
        <a:xfrm>
          <a:off x="127001" y="105833"/>
          <a:ext cx="624417" cy="624417"/>
        </a:xfrm>
        <a:prstGeom prst="rect">
          <a:avLst/>
        </a:prstGeom>
      </xdr:spPr>
    </xdr:pic>
    <xdr:clientData/>
  </xdr:twoCellAnchor>
  <xdr:twoCellAnchor>
    <xdr:from>
      <xdr:col>0</xdr:col>
      <xdr:colOff>116417</xdr:colOff>
      <xdr:row>4</xdr:row>
      <xdr:rowOff>95249</xdr:rowOff>
    </xdr:from>
    <xdr:to>
      <xdr:col>0</xdr:col>
      <xdr:colOff>1481667</xdr:colOff>
      <xdr:row>5</xdr:row>
      <xdr:rowOff>296332</xdr:rowOff>
    </xdr:to>
    <xdr:sp macro="" textlink="">
      <xdr:nvSpPr>
        <xdr:cNvPr id="10" name="CuadroTexto 9">
          <a:hlinkClick xmlns:r="http://schemas.openxmlformats.org/officeDocument/2006/relationships" r:id="rId5"/>
          <a:extLst>
            <a:ext uri="{FF2B5EF4-FFF2-40B4-BE49-F238E27FC236}">
              <a16:creationId xmlns:a16="http://schemas.microsoft.com/office/drawing/2014/main" id="{00000000-0008-0000-0500-00000A000000}"/>
            </a:ext>
          </a:extLst>
        </xdr:cNvPr>
        <xdr:cNvSpPr txBox="1"/>
      </xdr:nvSpPr>
      <xdr:spPr>
        <a:xfrm>
          <a:off x="116417" y="888999"/>
          <a:ext cx="1365250" cy="381000"/>
        </a:xfrm>
        <a:prstGeom prst="rect">
          <a:avLst/>
        </a:prstGeom>
        <a:ln>
          <a:solidFill>
            <a:schemeClr val="bg1">
              <a:lumMod val="85000"/>
            </a:schemeClr>
          </a:solidFill>
        </a:ln>
      </xdr:spPr>
      <xdr:style>
        <a:lnRef idx="0">
          <a:schemeClr val="accent4"/>
        </a:lnRef>
        <a:fillRef idx="3">
          <a:schemeClr val="accent4"/>
        </a:fillRef>
        <a:effectRef idx="3">
          <a:schemeClr val="accent4"/>
        </a:effectRef>
        <a:fontRef idx="minor">
          <a:schemeClr val="lt1"/>
        </a:fontRef>
      </xdr:style>
      <xdr:txBody>
        <a:bodyPr vertOverflow="clip" horzOverflow="clip" wrap="square" rtlCol="0" anchor="ctr"/>
        <a:lstStyle/>
        <a:p>
          <a:pPr algn="ctr"/>
          <a:r>
            <a:rPr lang="es-ES" sz="1600" b="1">
              <a:solidFill>
                <a:sysClr val="windowText" lastClr="000000"/>
              </a:solidFill>
            </a:rPr>
            <a:t>LIQUIDACIÓN</a:t>
          </a:r>
        </a:p>
      </xdr:txBody>
    </xdr:sp>
    <xdr:clientData/>
  </xdr:twoCellAnchor>
  <xdr:twoCellAnchor>
    <xdr:from>
      <xdr:col>9</xdr:col>
      <xdr:colOff>42333</xdr:colOff>
      <xdr:row>0</xdr:row>
      <xdr:rowOff>84665</xdr:rowOff>
    </xdr:from>
    <xdr:to>
      <xdr:col>15</xdr:col>
      <xdr:colOff>550333</xdr:colOff>
      <xdr:row>5</xdr:row>
      <xdr:rowOff>370415</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8551333" y="84665"/>
          <a:ext cx="5524500" cy="1259417"/>
        </a:xfrm>
        <a:prstGeom prst="rect">
          <a:avLst/>
        </a:prstGeom>
        <a:noFill/>
        <a:ln>
          <a:noFill/>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s-ES" sz="3600" b="1">
              <a:solidFill>
                <a:schemeClr val="bg1"/>
              </a:solidFill>
              <a:latin typeface="Impact" panose="020B0806030902050204" pitchFamily="34" charset="0"/>
            </a:rPr>
            <a:t>CONTROL</a:t>
          </a:r>
          <a:r>
            <a:rPr lang="es-ES" sz="3600" b="1" baseline="0">
              <a:solidFill>
                <a:schemeClr val="bg1"/>
              </a:solidFill>
              <a:latin typeface="Impact" panose="020B0806030902050204" pitchFamily="34" charset="0"/>
            </a:rPr>
            <a:t> Y PROGRAMA DE VACACIONES ANUAL</a:t>
          </a:r>
          <a:endParaRPr lang="es-ES" sz="3600" b="1">
            <a:solidFill>
              <a:schemeClr val="bg1"/>
            </a:solidFill>
            <a:latin typeface="Impact" panose="020B0806030902050204" pitchFamily="34" charset="0"/>
          </a:endParaRPr>
        </a:p>
      </xdr:txBody>
    </xdr:sp>
    <xdr:clientData/>
  </xdr:twoCellAnchor>
  <xdr:twoCellAnchor editAs="oneCell">
    <xdr:from>
      <xdr:col>13</xdr:col>
      <xdr:colOff>740834</xdr:colOff>
      <xdr:row>6</xdr:row>
      <xdr:rowOff>10583</xdr:rowOff>
    </xdr:from>
    <xdr:to>
      <xdr:col>15</xdr:col>
      <xdr:colOff>359154</xdr:colOff>
      <xdr:row>7</xdr:row>
      <xdr:rowOff>169335</xdr:rowOff>
    </xdr:to>
    <xdr:pic>
      <xdr:nvPicPr>
        <xdr:cNvPr id="13" name="Imagen 12">
          <a:hlinkClick xmlns:r="http://schemas.openxmlformats.org/officeDocument/2006/relationships" r:id="rId6"/>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594167" y="1365250"/>
          <a:ext cx="1290487" cy="370418"/>
        </a:xfrm>
        <a:prstGeom prst="rect">
          <a:avLst/>
        </a:prstGeom>
      </xdr:spPr>
    </xdr:pic>
    <xdr:clientData/>
  </xdr:twoCellAnchor>
  <xdr:twoCellAnchor>
    <xdr:from>
      <xdr:col>9</xdr:col>
      <xdr:colOff>370417</xdr:colOff>
      <xdr:row>5</xdr:row>
      <xdr:rowOff>285749</xdr:rowOff>
    </xdr:from>
    <xdr:to>
      <xdr:col>15</xdr:col>
      <xdr:colOff>486833</xdr:colOff>
      <xdr:row>5</xdr:row>
      <xdr:rowOff>317500</xdr:rowOff>
    </xdr:to>
    <xdr:cxnSp macro="">
      <xdr:nvCxnSpPr>
        <xdr:cNvPr id="15" name="Conector recto 14">
          <a:extLst>
            <a:ext uri="{FF2B5EF4-FFF2-40B4-BE49-F238E27FC236}">
              <a16:creationId xmlns:a16="http://schemas.microsoft.com/office/drawing/2014/main" id="{00000000-0008-0000-0500-00000F000000}"/>
            </a:ext>
          </a:extLst>
        </xdr:cNvPr>
        <xdr:cNvCxnSpPr/>
      </xdr:nvCxnSpPr>
      <xdr:spPr>
        <a:xfrm flipV="1">
          <a:off x="8879417" y="1259416"/>
          <a:ext cx="5132916" cy="31751"/>
        </a:xfrm>
        <a:prstGeom prst="line">
          <a:avLst/>
        </a:prstGeom>
        <a:ln w="19050">
          <a:solidFill>
            <a:srgbClr val="00B0F0"/>
          </a:solidFill>
        </a:ln>
        <a:effectLst>
          <a:outerShdw blurRad="50800" dist="38100" dir="5400000" algn="t" rotWithShape="0">
            <a:schemeClr val="bg1">
              <a:alpha val="40000"/>
            </a:scheme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391584</xdr:colOff>
      <xdr:row>0</xdr:row>
      <xdr:rowOff>116417</xdr:rowOff>
    </xdr:from>
    <xdr:to>
      <xdr:col>8</xdr:col>
      <xdr:colOff>666750</xdr:colOff>
      <xdr:row>1</xdr:row>
      <xdr:rowOff>127000</xdr:rowOff>
    </xdr:to>
    <xdr:sp macro="" textlink="">
      <xdr:nvSpPr>
        <xdr:cNvPr id="16" name="CuadroTexto 15">
          <a:extLst>
            <a:ext uri="{FF2B5EF4-FFF2-40B4-BE49-F238E27FC236}">
              <a16:creationId xmlns:a16="http://schemas.microsoft.com/office/drawing/2014/main" id="{00000000-0008-0000-0500-000010000000}"/>
            </a:ext>
          </a:extLst>
        </xdr:cNvPr>
        <xdr:cNvSpPr txBox="1"/>
      </xdr:nvSpPr>
      <xdr:spPr>
        <a:xfrm>
          <a:off x="6699251" y="116417"/>
          <a:ext cx="1640416" cy="190500"/>
        </a:xfrm>
        <a:prstGeom prst="rect">
          <a:avLst/>
        </a:prstGeom>
        <a:noFill/>
        <a:ln>
          <a:solidFill>
            <a:schemeClr val="bg1">
              <a:lumMod val="85000"/>
            </a:schemeClr>
          </a:solidFill>
        </a:ln>
      </xdr:spPr>
      <xdr:style>
        <a:lnRef idx="0">
          <a:schemeClr val="accent4"/>
        </a:lnRef>
        <a:fillRef idx="3">
          <a:schemeClr val="accent4"/>
        </a:fillRef>
        <a:effectRef idx="3">
          <a:schemeClr val="accent4"/>
        </a:effectRef>
        <a:fontRef idx="minor">
          <a:schemeClr val="lt1"/>
        </a:fontRef>
      </xdr:style>
      <xdr:txBody>
        <a:bodyPr vertOverflow="clip" horzOverflow="clip" wrap="square" rtlCol="0" anchor="ctr"/>
        <a:lstStyle/>
        <a:p>
          <a:pPr algn="ctr"/>
          <a:r>
            <a:rPr lang="es-ES" sz="1400" b="1">
              <a:solidFill>
                <a:schemeClr val="bg1"/>
              </a:solidFill>
              <a:latin typeface="Impact" panose="020B0806030902050204" pitchFamily="34" charset="0"/>
            </a:rPr>
            <a:t>Horas Disponible</a:t>
          </a:r>
        </a:p>
      </xdr:txBody>
    </xdr:sp>
    <xdr:clientData/>
  </xdr:twoCellAnchor>
  <xdr:twoCellAnchor>
    <xdr:from>
      <xdr:col>6</xdr:col>
      <xdr:colOff>444499</xdr:colOff>
      <xdr:row>5</xdr:row>
      <xdr:rowOff>158749</xdr:rowOff>
    </xdr:from>
    <xdr:to>
      <xdr:col>8</xdr:col>
      <xdr:colOff>338666</xdr:colOff>
      <xdr:row>7</xdr:row>
      <xdr:rowOff>95250</xdr:rowOff>
    </xdr:to>
    <xdr:sp macro="" textlink="$H$7">
      <xdr:nvSpPr>
        <xdr:cNvPr id="17" name="CuadroTexto 16">
          <a:extLst>
            <a:ext uri="{FF2B5EF4-FFF2-40B4-BE49-F238E27FC236}">
              <a16:creationId xmlns:a16="http://schemas.microsoft.com/office/drawing/2014/main" id="{00000000-0008-0000-0500-000011000000}"/>
            </a:ext>
          </a:extLst>
        </xdr:cNvPr>
        <xdr:cNvSpPr txBox="1"/>
      </xdr:nvSpPr>
      <xdr:spPr>
        <a:xfrm>
          <a:off x="6752166" y="1132416"/>
          <a:ext cx="1259417" cy="497417"/>
        </a:xfrm>
        <a:prstGeom prst="rect">
          <a:avLst/>
        </a:prstGeom>
        <a:solidFill>
          <a:srgbClr val="0070C0"/>
        </a:solidFill>
        <a:ln/>
        <a:effectLst>
          <a:softEdge rad="12700"/>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fld id="{EEEA3146-9DB4-49BF-80CD-944D0DDC291C}" type="TxLink">
            <a:rPr lang="en-US" sz="2300" b="1" i="0" u="none" strike="noStrike">
              <a:solidFill>
                <a:schemeClr val="bg1"/>
              </a:solidFill>
              <a:latin typeface="Impact" panose="020B0806030902050204" pitchFamily="34" charset="0"/>
              <a:cs typeface="Arial"/>
            </a:rPr>
            <a:pPr algn="ctr"/>
            <a:t> 235,0   </a:t>
          </a:fld>
          <a:endParaRPr lang="es-ES" sz="2300" b="1">
            <a:solidFill>
              <a:schemeClr val="bg1"/>
            </a:solidFill>
            <a:latin typeface="Impact" panose="020B0806030902050204" pitchFamily="34" charset="0"/>
          </a:endParaRPr>
        </a:p>
      </xdr:txBody>
    </xdr:sp>
    <xdr:clientData/>
  </xdr:twoCellAnchor>
  <xdr:twoCellAnchor>
    <xdr:from>
      <xdr:col>6</xdr:col>
      <xdr:colOff>412750</xdr:colOff>
      <xdr:row>4</xdr:row>
      <xdr:rowOff>158749</xdr:rowOff>
    </xdr:from>
    <xdr:to>
      <xdr:col>8</xdr:col>
      <xdr:colOff>666750</xdr:colOff>
      <xdr:row>5</xdr:row>
      <xdr:rowOff>190499</xdr:rowOff>
    </xdr:to>
    <xdr:sp macro="" textlink="">
      <xdr:nvSpPr>
        <xdr:cNvPr id="18" name="CuadroTexto 17">
          <a:extLst>
            <a:ext uri="{FF2B5EF4-FFF2-40B4-BE49-F238E27FC236}">
              <a16:creationId xmlns:a16="http://schemas.microsoft.com/office/drawing/2014/main" id="{00000000-0008-0000-0500-000012000000}"/>
            </a:ext>
          </a:extLst>
        </xdr:cNvPr>
        <xdr:cNvSpPr txBox="1"/>
      </xdr:nvSpPr>
      <xdr:spPr>
        <a:xfrm>
          <a:off x="6720417" y="952499"/>
          <a:ext cx="1619250" cy="211667"/>
        </a:xfrm>
        <a:prstGeom prst="rect">
          <a:avLst/>
        </a:prstGeom>
        <a:noFill/>
        <a:ln>
          <a:solidFill>
            <a:schemeClr val="bg1">
              <a:lumMod val="85000"/>
            </a:schemeClr>
          </a:solidFill>
        </a:ln>
      </xdr:spPr>
      <xdr:style>
        <a:lnRef idx="0">
          <a:schemeClr val="accent4"/>
        </a:lnRef>
        <a:fillRef idx="3">
          <a:schemeClr val="accent4"/>
        </a:fillRef>
        <a:effectRef idx="3">
          <a:schemeClr val="accent4"/>
        </a:effectRef>
        <a:fontRef idx="minor">
          <a:schemeClr val="lt1"/>
        </a:fontRef>
      </xdr:style>
      <xdr:txBody>
        <a:bodyPr vertOverflow="clip" horzOverflow="clip" wrap="square" rtlCol="0" anchor="ctr"/>
        <a:lstStyle/>
        <a:p>
          <a:pPr algn="ctr"/>
          <a:r>
            <a:rPr lang="es-ES" sz="1400" b="1">
              <a:solidFill>
                <a:schemeClr val="bg1"/>
              </a:solidFill>
              <a:latin typeface="Impact" panose="020B0806030902050204" pitchFamily="34" charset="0"/>
            </a:rPr>
            <a:t>Horas Progamadas</a:t>
          </a:r>
        </a:p>
      </xdr:txBody>
    </xdr:sp>
    <xdr:clientData/>
  </xdr:twoCellAnchor>
  <xdr:twoCellAnchor editAs="oneCell">
    <xdr:from>
      <xdr:col>0</xdr:col>
      <xdr:colOff>910166</xdr:colOff>
      <xdr:row>0</xdr:row>
      <xdr:rowOff>54961</xdr:rowOff>
    </xdr:from>
    <xdr:to>
      <xdr:col>1</xdr:col>
      <xdr:colOff>2769</xdr:colOff>
      <xdr:row>3</xdr:row>
      <xdr:rowOff>190501</xdr:rowOff>
    </xdr:to>
    <xdr:pic>
      <xdr:nvPicPr>
        <xdr:cNvPr id="20" name="Imagen 19">
          <a:hlinkClick xmlns:r="http://schemas.openxmlformats.org/officeDocument/2006/relationships" r:id="rId8"/>
          <a:extLst>
            <a:ext uri="{FF2B5EF4-FFF2-40B4-BE49-F238E27FC236}">
              <a16:creationId xmlns:a16="http://schemas.microsoft.com/office/drawing/2014/main" id="{00000000-0008-0000-0500-000014000000}"/>
            </a:ext>
          </a:extLst>
        </xdr:cNvPr>
        <xdr:cNvPicPr>
          <a:picLocks noChangeAspect="1"/>
        </xdr:cNvPicPr>
      </xdr:nvPicPr>
      <xdr:blipFill rotWithShape="1">
        <a:blip xmlns:r="http://schemas.openxmlformats.org/officeDocument/2006/relationships" r:embed="rId9"/>
        <a:srcRect b="7953"/>
        <a:stretch/>
      </xdr:blipFill>
      <xdr:spPr>
        <a:xfrm>
          <a:off x="910166" y="54961"/>
          <a:ext cx="680103" cy="675290"/>
        </a:xfrm>
        <a:prstGeom prst="rect">
          <a:avLst/>
        </a:prstGeom>
      </xdr:spPr>
    </xdr:pic>
    <xdr:clientData/>
  </xdr:twoCellAnchor>
  <xdr:twoCellAnchor>
    <xdr:from>
      <xdr:col>1</xdr:col>
      <xdr:colOff>264583</xdr:colOff>
      <xdr:row>5</xdr:row>
      <xdr:rowOff>52916</xdr:rowOff>
    </xdr:from>
    <xdr:to>
      <xdr:col>2</xdr:col>
      <xdr:colOff>793749</xdr:colOff>
      <xdr:row>5</xdr:row>
      <xdr:rowOff>370416</xdr:rowOff>
    </xdr:to>
    <xdr:sp macro="" textlink="">
      <xdr:nvSpPr>
        <xdr:cNvPr id="19" name="CuadroTexto 18">
          <a:extLst>
            <a:ext uri="{FF2B5EF4-FFF2-40B4-BE49-F238E27FC236}">
              <a16:creationId xmlns:a16="http://schemas.microsoft.com/office/drawing/2014/main" id="{00000000-0008-0000-0500-000013000000}"/>
            </a:ext>
          </a:extLst>
        </xdr:cNvPr>
        <xdr:cNvSpPr txBox="1"/>
      </xdr:nvSpPr>
      <xdr:spPr>
        <a:xfrm>
          <a:off x="1852083" y="1026583"/>
          <a:ext cx="1756833" cy="317500"/>
        </a:xfrm>
        <a:prstGeom prst="rect">
          <a:avLst/>
        </a:prstGeom>
        <a:noFill/>
        <a:ln>
          <a:noFill/>
        </a:ln>
      </xdr:spPr>
      <xdr:style>
        <a:lnRef idx="0">
          <a:schemeClr val="accent4"/>
        </a:lnRef>
        <a:fillRef idx="3">
          <a:schemeClr val="accent4"/>
        </a:fillRef>
        <a:effectRef idx="3">
          <a:schemeClr val="accent4"/>
        </a:effectRef>
        <a:fontRef idx="minor">
          <a:schemeClr val="lt1"/>
        </a:fontRef>
      </xdr:style>
      <xdr:txBody>
        <a:bodyPr vertOverflow="clip" horzOverflow="clip" wrap="square" rtlCol="0" anchor="ctr"/>
        <a:lstStyle/>
        <a:p>
          <a:pPr algn="ctr"/>
          <a:r>
            <a:rPr lang="es-ES" sz="1600" b="1">
              <a:solidFill>
                <a:schemeClr val="bg1"/>
              </a:solidFill>
              <a:latin typeface="Impact" panose="020B0806030902050204" pitchFamily="34" charset="0"/>
            </a:rPr>
            <a:t>ÁREAS</a:t>
          </a:r>
        </a:p>
      </xdr:txBody>
    </xdr:sp>
    <xdr:clientData/>
  </xdr:twoCellAnchor>
  <xdr:twoCellAnchor>
    <xdr:from>
      <xdr:col>1</xdr:col>
      <xdr:colOff>201084</xdr:colOff>
      <xdr:row>1</xdr:row>
      <xdr:rowOff>116416</xdr:rowOff>
    </xdr:from>
    <xdr:to>
      <xdr:col>3</xdr:col>
      <xdr:colOff>179917</xdr:colOff>
      <xdr:row>4</xdr:row>
      <xdr:rowOff>116416</xdr:rowOff>
    </xdr:to>
    <xdr:sp macro="" textlink="$C$3">
      <xdr:nvSpPr>
        <xdr:cNvPr id="21" name="CuadroTexto 20">
          <a:extLst>
            <a:ext uri="{FF2B5EF4-FFF2-40B4-BE49-F238E27FC236}">
              <a16:creationId xmlns:a16="http://schemas.microsoft.com/office/drawing/2014/main" id="{00000000-0008-0000-0500-000015000000}"/>
            </a:ext>
          </a:extLst>
        </xdr:cNvPr>
        <xdr:cNvSpPr txBox="1"/>
      </xdr:nvSpPr>
      <xdr:spPr>
        <a:xfrm>
          <a:off x="1788584" y="296333"/>
          <a:ext cx="2042583" cy="613833"/>
        </a:xfrm>
        <a:prstGeom prst="rect">
          <a:avLst/>
        </a:prstGeom>
        <a:solidFill>
          <a:srgbClr val="002060"/>
        </a:solidFill>
        <a:ln/>
        <a:effectLst>
          <a:softEdge rad="12700"/>
        </a:effectLst>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fld id="{B8D08F7D-1888-4EC5-8C94-6F5FDEE4CBD5}" type="TxLink">
            <a:rPr lang="en-US" sz="2000" b="1" i="1" u="none" strike="noStrike">
              <a:solidFill>
                <a:srgbClr val="FFFFFF"/>
              </a:solidFill>
              <a:latin typeface="Arial"/>
              <a:cs typeface="Arial"/>
            </a:rPr>
            <a:pPr algn="ctr"/>
            <a:t> 22.416.667 </a:t>
          </a:fld>
          <a:endParaRPr lang="es-ES" sz="2000" b="1" i="1">
            <a:solidFill>
              <a:sysClr val="windowText" lastClr="000000"/>
            </a:solidFill>
            <a:latin typeface="Impact" panose="020B0806030902050204" pitchFamily="34" charset="0"/>
          </a:endParaRPr>
        </a:p>
      </xdr:txBody>
    </xdr:sp>
    <xdr:clientData/>
  </xdr:twoCellAnchor>
  <xdr:twoCellAnchor editAs="oneCell">
    <xdr:from>
      <xdr:col>0</xdr:col>
      <xdr:colOff>444500</xdr:colOff>
      <xdr:row>5</xdr:row>
      <xdr:rowOff>380999</xdr:rowOff>
    </xdr:from>
    <xdr:to>
      <xdr:col>0</xdr:col>
      <xdr:colOff>940026</xdr:colOff>
      <xdr:row>8</xdr:row>
      <xdr:rowOff>95250</xdr:rowOff>
    </xdr:to>
    <xdr:pic macro="[0]!Macro1">
      <xdr:nvPicPr>
        <xdr:cNvPr id="22" name="Imagen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10"/>
        <a:stretch>
          <a:fillRect/>
        </a:stretch>
      </xdr:blipFill>
      <xdr:spPr>
        <a:xfrm>
          <a:off x="444500" y="1354666"/>
          <a:ext cx="495526" cy="486834"/>
        </a:xfrm>
        <a:prstGeom prst="rect">
          <a:avLst/>
        </a:prstGeom>
      </xdr:spPr>
    </xdr:pic>
    <xdr:clientData/>
  </xdr:twoCellAnchor>
  <xdr:twoCellAnchor>
    <xdr:from>
      <xdr:col>1</xdr:col>
      <xdr:colOff>222249</xdr:colOff>
      <xdr:row>0</xdr:row>
      <xdr:rowOff>10583</xdr:rowOff>
    </xdr:from>
    <xdr:to>
      <xdr:col>2</xdr:col>
      <xdr:colOff>634999</xdr:colOff>
      <xdr:row>1</xdr:row>
      <xdr:rowOff>169333</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809749" y="10583"/>
          <a:ext cx="1640417" cy="338667"/>
        </a:xfrm>
        <a:prstGeom prst="rect">
          <a:avLst/>
        </a:prstGeom>
        <a:noFill/>
        <a:ln>
          <a:solidFill>
            <a:schemeClr val="bg1">
              <a:lumMod val="85000"/>
            </a:schemeClr>
          </a:solidFill>
        </a:ln>
      </xdr:spPr>
      <xdr:style>
        <a:lnRef idx="0">
          <a:schemeClr val="accent4"/>
        </a:lnRef>
        <a:fillRef idx="3">
          <a:schemeClr val="accent4"/>
        </a:fillRef>
        <a:effectRef idx="3">
          <a:schemeClr val="accent4"/>
        </a:effectRef>
        <a:fontRef idx="minor">
          <a:schemeClr val="lt1"/>
        </a:fontRef>
      </xdr:style>
      <xdr:txBody>
        <a:bodyPr vertOverflow="clip" horzOverflow="clip" wrap="square" rtlCol="0" anchor="ctr"/>
        <a:lstStyle/>
        <a:p>
          <a:pPr algn="ctr"/>
          <a:r>
            <a:rPr lang="es-ES" sz="1400" b="0" i="1">
              <a:solidFill>
                <a:schemeClr val="bg1"/>
              </a:solidFill>
              <a:latin typeface="Segoe UI Semibold" panose="020B0702040204020203" pitchFamily="34" charset="0"/>
              <a:cs typeface="Segoe UI Semibold" panose="020B0702040204020203" pitchFamily="34" charset="0"/>
            </a:rPr>
            <a:t>Liquidación</a:t>
          </a: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11207</xdr:rowOff>
    </xdr:from>
    <xdr:ext cx="1811434" cy="638735"/>
    <xdr:sp macro="" textlink="">
      <xdr:nvSpPr>
        <xdr:cNvPr id="2" name="Rectángulo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0" y="11207"/>
          <a:ext cx="1811434" cy="638735"/>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1700" b="1">
              <a:solidFill>
                <a:schemeClr val="bg1"/>
              </a:solidFill>
              <a:latin typeface="Arial" panose="020B0604020202020204" pitchFamily="34" charset="0"/>
              <a:ea typeface="+mn-ea"/>
              <a:cs typeface="Arial" panose="020B0604020202020204" pitchFamily="34" charset="0"/>
            </a:rPr>
            <a:t>AYUDA</a:t>
          </a:r>
        </a:p>
      </xdr:txBody>
    </xdr:sp>
    <xdr:clientData/>
  </xdr:oneCellAnchor>
  <xdr:oneCellAnchor>
    <xdr:from>
      <xdr:col>8</xdr:col>
      <xdr:colOff>407755</xdr:colOff>
      <xdr:row>0</xdr:row>
      <xdr:rowOff>23112</xdr:rowOff>
    </xdr:from>
    <xdr:ext cx="2432235" cy="638735"/>
    <xdr:sp macro="" textlink="">
      <xdr:nvSpPr>
        <xdr:cNvPr id="3" name="Rectángulo 2">
          <a:extLst>
            <a:ext uri="{FF2B5EF4-FFF2-40B4-BE49-F238E27FC236}">
              <a16:creationId xmlns:a16="http://schemas.microsoft.com/office/drawing/2014/main" id="{00000000-0008-0000-0600-000003000000}"/>
            </a:ext>
          </a:extLst>
        </xdr:cNvPr>
        <xdr:cNvSpPr/>
      </xdr:nvSpPr>
      <xdr:spPr>
        <a:xfrm>
          <a:off x="6503755" y="23112"/>
          <a:ext cx="2432235" cy="638735"/>
        </a:xfrm>
        <a:prstGeom prst="rect">
          <a:avLst/>
        </a:prstGeom>
        <a:solidFill>
          <a:srgbClr val="00B050"/>
        </a:solid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2200" b="1">
              <a:solidFill>
                <a:schemeClr val="bg1"/>
              </a:solidFill>
              <a:latin typeface="Arial" panose="020B0604020202020204" pitchFamily="34" charset="0"/>
              <a:ea typeface="+mn-ea"/>
              <a:cs typeface="Arial" panose="020B0604020202020204" pitchFamily="34" charset="0"/>
            </a:rPr>
            <a:t>SUGERENCIAS</a:t>
          </a:r>
        </a:p>
      </xdr:txBody>
    </xdr:sp>
    <xdr:clientData/>
  </xdr:oneCellAnchor>
  <xdr:twoCellAnchor>
    <xdr:from>
      <xdr:col>12</xdr:col>
      <xdr:colOff>391087</xdr:colOff>
      <xdr:row>0</xdr:row>
      <xdr:rowOff>156882</xdr:rowOff>
    </xdr:from>
    <xdr:to>
      <xdr:col>14</xdr:col>
      <xdr:colOff>480734</xdr:colOff>
      <xdr:row>0</xdr:row>
      <xdr:rowOff>481853</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9535087" y="156882"/>
          <a:ext cx="1613647" cy="324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300" b="1">
              <a:solidFill>
                <a:schemeClr val="bg1"/>
              </a:solidFill>
            </a:rPr>
            <a:t>Excel para Todos</a:t>
          </a:r>
        </a:p>
      </xdr:txBody>
    </xdr:sp>
    <xdr:clientData/>
  </xdr:twoCellAnchor>
  <xdr:oneCellAnchor>
    <xdr:from>
      <xdr:col>11</xdr:col>
      <xdr:colOff>626412</xdr:colOff>
      <xdr:row>0</xdr:row>
      <xdr:rowOff>44822</xdr:rowOff>
    </xdr:from>
    <xdr:ext cx="596152" cy="596152"/>
    <xdr:pic>
      <xdr:nvPicPr>
        <xdr:cNvPr id="5" name="Imagen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08412" y="44822"/>
          <a:ext cx="596152" cy="596152"/>
        </a:xfrm>
        <a:prstGeom prst="rect">
          <a:avLst/>
        </a:prstGeom>
      </xdr:spPr>
    </xdr:pic>
    <xdr:clientData/>
  </xdr:oneCellAnchor>
  <xdr:oneCellAnchor>
    <xdr:from>
      <xdr:col>0</xdr:col>
      <xdr:colOff>33616</xdr:colOff>
      <xdr:row>1</xdr:row>
      <xdr:rowOff>32917</xdr:rowOff>
    </xdr:from>
    <xdr:ext cx="11441207" cy="605118"/>
    <xdr:sp macro="" textlink="">
      <xdr:nvSpPr>
        <xdr:cNvPr id="6" name="Rectángulo 5">
          <a:extLst>
            <a:ext uri="{FF2B5EF4-FFF2-40B4-BE49-F238E27FC236}">
              <a16:creationId xmlns:a16="http://schemas.microsoft.com/office/drawing/2014/main" id="{00000000-0008-0000-0600-000006000000}"/>
            </a:ext>
          </a:extLst>
        </xdr:cNvPr>
        <xdr:cNvSpPr/>
      </xdr:nvSpPr>
      <xdr:spPr>
        <a:xfrm>
          <a:off x="33616" y="690142"/>
          <a:ext cx="11441207" cy="605118"/>
        </a:xfrm>
        <a:prstGeom prst="rect">
          <a:avLst/>
        </a:prstGeom>
        <a:solidFill>
          <a:srgbClr val="00B050"/>
        </a:solidFill>
      </xdr:spPr>
      <xdr:txBody>
        <a:bodyPr wrap="square" lIns="91440" tIns="45720" rIns="91440" bIns="45720" anchor="ctr">
          <a:noAutofit/>
        </a:bodyPr>
        <a:lstStyle/>
        <a:p>
          <a:pPr algn="ctr"/>
          <a:r>
            <a:rPr lang="es-ES" sz="2000" b="1" cap="none" spc="0">
              <a:ln w="0"/>
              <a:solidFill>
                <a:schemeClr val="bg1"/>
              </a:solidFill>
              <a:effectLst>
                <a:outerShdw blurRad="38100" dist="25400" dir="5400000" algn="ctr" rotWithShape="0">
                  <a:srgbClr val="6E747A">
                    <a:alpha val="43000"/>
                  </a:srgbClr>
                </a:outerShdw>
              </a:effectLst>
            </a:rPr>
            <a:t>OTRAS SUGERENCIAS</a:t>
          </a:r>
        </a:p>
      </xdr:txBody>
    </xdr:sp>
    <xdr:clientData/>
  </xdr:oneCellAnchor>
  <xdr:twoCellAnchor>
    <xdr:from>
      <xdr:col>6</xdr:col>
      <xdr:colOff>1</xdr:colOff>
      <xdr:row>5</xdr:row>
      <xdr:rowOff>4732</xdr:rowOff>
    </xdr:from>
    <xdr:to>
      <xdr:col>9</xdr:col>
      <xdr:colOff>571500</xdr:colOff>
      <xdr:row>19</xdr:row>
      <xdr:rowOff>168089</xdr:rowOff>
    </xdr:to>
    <xdr:grpSp>
      <xdr:nvGrpSpPr>
        <xdr:cNvPr id="7" name="Grupo 6">
          <a:hlinkClick xmlns:r="http://schemas.openxmlformats.org/officeDocument/2006/relationships" r:id="rId3"/>
          <a:extLst>
            <a:ext uri="{FF2B5EF4-FFF2-40B4-BE49-F238E27FC236}">
              <a16:creationId xmlns:a16="http://schemas.microsoft.com/office/drawing/2014/main" id="{00000000-0008-0000-0600-000007000000}"/>
            </a:ext>
          </a:extLst>
        </xdr:cNvPr>
        <xdr:cNvGrpSpPr/>
      </xdr:nvGrpSpPr>
      <xdr:grpSpPr>
        <a:xfrm>
          <a:off x="4572001" y="1350138"/>
          <a:ext cx="2857499" cy="2830357"/>
          <a:chOff x="4572001" y="1550024"/>
          <a:chExt cx="2857499" cy="2887507"/>
        </a:xfrm>
      </xdr:grpSpPr>
      <xdr:grpSp>
        <xdr:nvGrpSpPr>
          <xdr:cNvPr id="8" name="Grupo 7">
            <a:extLst>
              <a:ext uri="{FF2B5EF4-FFF2-40B4-BE49-F238E27FC236}">
                <a16:creationId xmlns:a16="http://schemas.microsoft.com/office/drawing/2014/main" id="{00000000-0008-0000-0600-000008000000}"/>
              </a:ext>
            </a:extLst>
          </xdr:cNvPr>
          <xdr:cNvGrpSpPr/>
        </xdr:nvGrpSpPr>
        <xdr:grpSpPr>
          <a:xfrm>
            <a:off x="4572001" y="1550024"/>
            <a:ext cx="2857499" cy="2461682"/>
            <a:chOff x="3933265" y="1739305"/>
            <a:chExt cx="3003176" cy="2496519"/>
          </a:xfrm>
        </xdr:grpSpPr>
        <xdr:sp macro="" textlink="">
          <xdr:nvSpPr>
            <xdr:cNvPr id="10" name="Rectángulo 9">
              <a:extLst>
                <a:ext uri="{FF2B5EF4-FFF2-40B4-BE49-F238E27FC236}">
                  <a16:creationId xmlns:a16="http://schemas.microsoft.com/office/drawing/2014/main" id="{00000000-0008-0000-0600-00000A000000}"/>
                </a:ext>
              </a:extLst>
            </xdr:cNvPr>
            <xdr:cNvSpPr/>
          </xdr:nvSpPr>
          <xdr:spPr>
            <a:xfrm>
              <a:off x="3933265" y="1826559"/>
              <a:ext cx="3003176" cy="2409265"/>
            </a:xfrm>
            <a:prstGeom prst="rect">
              <a:avLst/>
            </a:prstGeom>
            <a:solidFill>
              <a:schemeClr val="accent5">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pic>
          <xdr:nvPicPr>
            <xdr:cNvPr id="11" name="Imagen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291850" y="1739305"/>
              <a:ext cx="2479710" cy="2479710"/>
            </a:xfrm>
            <a:prstGeom prst="rect">
              <a:avLst/>
            </a:prstGeom>
          </xdr:spPr>
        </xdr:pic>
      </xdr:grpSp>
      <xdr:sp macro="" textlink="">
        <xdr:nvSpPr>
          <xdr:cNvPr id="9" name="Rectángulo: esquinas redondeadas 8">
            <a:hlinkClick xmlns:r="http://schemas.openxmlformats.org/officeDocument/2006/relationships" r:id="rId3"/>
            <a:extLst>
              <a:ext uri="{FF2B5EF4-FFF2-40B4-BE49-F238E27FC236}">
                <a16:creationId xmlns:a16="http://schemas.microsoft.com/office/drawing/2014/main" id="{00000000-0008-0000-0600-000009000000}"/>
              </a:ext>
            </a:extLst>
          </xdr:cNvPr>
          <xdr:cNvSpPr/>
        </xdr:nvSpPr>
        <xdr:spPr>
          <a:xfrm>
            <a:off x="4706471" y="3843619"/>
            <a:ext cx="2622176" cy="593912"/>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3000" b="1">
                <a:solidFill>
                  <a:schemeClr val="tx1"/>
                </a:solidFill>
              </a:rPr>
              <a:t>CURSO EXCEL</a:t>
            </a:r>
          </a:p>
        </xdr:txBody>
      </xdr:sp>
    </xdr:grpSp>
    <xdr:clientData/>
  </xdr:twoCellAnchor>
  <xdr:twoCellAnchor>
    <xdr:from>
      <xdr:col>10</xdr:col>
      <xdr:colOff>313765</xdr:colOff>
      <xdr:row>5</xdr:row>
      <xdr:rowOff>89647</xdr:rowOff>
    </xdr:from>
    <xdr:to>
      <xdr:col>14</xdr:col>
      <xdr:colOff>201707</xdr:colOff>
      <xdr:row>19</xdr:row>
      <xdr:rowOff>134470</xdr:rowOff>
    </xdr:to>
    <xdr:grpSp>
      <xdr:nvGrpSpPr>
        <xdr:cNvPr id="12" name="Grupo 11">
          <a:hlinkClick xmlns:r="http://schemas.openxmlformats.org/officeDocument/2006/relationships" r:id="rId5"/>
          <a:extLst>
            <a:ext uri="{FF2B5EF4-FFF2-40B4-BE49-F238E27FC236}">
              <a16:creationId xmlns:a16="http://schemas.microsoft.com/office/drawing/2014/main" id="{00000000-0008-0000-0600-00000C000000}"/>
            </a:ext>
          </a:extLst>
        </xdr:cNvPr>
        <xdr:cNvGrpSpPr/>
      </xdr:nvGrpSpPr>
      <xdr:grpSpPr>
        <a:xfrm>
          <a:off x="7933765" y="1435053"/>
          <a:ext cx="2935942" cy="2711823"/>
          <a:chOff x="7933764" y="1692089"/>
          <a:chExt cx="2991971" cy="2756647"/>
        </a:xfrm>
      </xdr:grpSpPr>
      <xdr:pic>
        <xdr:nvPicPr>
          <xdr:cNvPr id="13" name="Imagen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6">
            <a:duotone>
              <a:prstClr val="black"/>
              <a:schemeClr val="accent1">
                <a:lumMod val="20000"/>
                <a:lumOff val="80000"/>
                <a:tint val="45000"/>
                <a:satMod val="400000"/>
              </a:schemeClr>
            </a:duotone>
            <a:extLst>
              <a:ext uri="{28A0092B-C50C-407E-A947-70E740481C1C}">
                <a14:useLocalDpi xmlns:a14="http://schemas.microsoft.com/office/drawing/2010/main" val="0"/>
              </a:ext>
            </a:extLst>
          </a:blip>
          <a:srcRect l="17777" t="3555" r="12419" b="19845"/>
          <a:stretch/>
        </xdr:blipFill>
        <xdr:spPr>
          <a:xfrm>
            <a:off x="7933764" y="1692089"/>
            <a:ext cx="2991971" cy="2409264"/>
          </a:xfrm>
          <a:prstGeom prst="rect">
            <a:avLst/>
          </a:prstGeom>
        </xdr:spPr>
      </xdr:pic>
      <xdr:sp macro="" textlink="">
        <xdr:nvSpPr>
          <xdr:cNvPr id="14" name="Rectángulo: esquinas redondeadas 13">
            <a:hlinkClick xmlns:r="http://schemas.openxmlformats.org/officeDocument/2006/relationships" r:id="rId5"/>
            <a:extLst>
              <a:ext uri="{FF2B5EF4-FFF2-40B4-BE49-F238E27FC236}">
                <a16:creationId xmlns:a16="http://schemas.microsoft.com/office/drawing/2014/main" id="{00000000-0008-0000-0600-00000E000000}"/>
              </a:ext>
            </a:extLst>
          </xdr:cNvPr>
          <xdr:cNvSpPr/>
        </xdr:nvSpPr>
        <xdr:spPr>
          <a:xfrm>
            <a:off x="8135471" y="3854824"/>
            <a:ext cx="2622176" cy="593912"/>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2400" b="1">
                <a:solidFill>
                  <a:schemeClr val="tx1"/>
                </a:solidFill>
              </a:rPr>
              <a:t>MÁS TUTORIALES</a:t>
            </a:r>
          </a:p>
        </xdr:txBody>
      </xdr:sp>
    </xdr:grpSp>
    <xdr:clientData/>
  </xdr:twoCellAnchor>
  <xdr:twoCellAnchor>
    <xdr:from>
      <xdr:col>1</xdr:col>
      <xdr:colOff>493059</xdr:colOff>
      <xdr:row>5</xdr:row>
      <xdr:rowOff>67234</xdr:rowOff>
    </xdr:from>
    <xdr:to>
      <xdr:col>5</xdr:col>
      <xdr:colOff>67235</xdr:colOff>
      <xdr:row>20</xdr:row>
      <xdr:rowOff>11206</xdr:rowOff>
    </xdr:to>
    <xdr:grpSp>
      <xdr:nvGrpSpPr>
        <xdr:cNvPr id="15" name="Grupo 14">
          <a:hlinkClick xmlns:r="http://schemas.openxmlformats.org/officeDocument/2006/relationships" r:id="rId7"/>
          <a:extLst>
            <a:ext uri="{FF2B5EF4-FFF2-40B4-BE49-F238E27FC236}">
              <a16:creationId xmlns:a16="http://schemas.microsoft.com/office/drawing/2014/main" id="{00000000-0008-0000-0600-00000F000000}"/>
            </a:ext>
          </a:extLst>
        </xdr:cNvPr>
        <xdr:cNvGrpSpPr/>
      </xdr:nvGrpSpPr>
      <xdr:grpSpPr>
        <a:xfrm>
          <a:off x="1255059" y="1412640"/>
          <a:ext cx="2622176" cy="2801472"/>
          <a:chOff x="1255059" y="1669676"/>
          <a:chExt cx="2622176" cy="2801472"/>
        </a:xfrm>
      </xdr:grpSpPr>
      <xdr:pic>
        <xdr:nvPicPr>
          <xdr:cNvPr id="16" name="Imagen 15">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8">
            <a:duotone>
              <a:prstClr val="black"/>
              <a:schemeClr val="accent1">
                <a:lumMod val="20000"/>
                <a:lumOff val="80000"/>
                <a:tint val="45000"/>
                <a:satMod val="400000"/>
              </a:schemeClr>
            </a:duotone>
            <a:extLst>
              <a:ext uri="{28A0092B-C50C-407E-A947-70E740481C1C}">
                <a14:useLocalDpi xmlns:a14="http://schemas.microsoft.com/office/drawing/2010/main" val="0"/>
              </a:ext>
            </a:extLst>
          </a:blip>
          <a:stretch>
            <a:fillRect/>
          </a:stretch>
        </xdr:blipFill>
        <xdr:spPr>
          <a:xfrm>
            <a:off x="1311088" y="1669676"/>
            <a:ext cx="2470674" cy="2330824"/>
          </a:xfrm>
          <a:prstGeom prst="rect">
            <a:avLst/>
          </a:prstGeom>
        </xdr:spPr>
      </xdr:pic>
      <xdr:sp macro="" textlink="">
        <xdr:nvSpPr>
          <xdr:cNvPr id="17" name="Rectángulo: esquinas redondeadas 16">
            <a:hlinkClick xmlns:r="http://schemas.openxmlformats.org/officeDocument/2006/relationships" r:id="rId7"/>
            <a:extLst>
              <a:ext uri="{FF2B5EF4-FFF2-40B4-BE49-F238E27FC236}">
                <a16:creationId xmlns:a16="http://schemas.microsoft.com/office/drawing/2014/main" id="{00000000-0008-0000-0600-000011000000}"/>
              </a:ext>
            </a:extLst>
          </xdr:cNvPr>
          <xdr:cNvSpPr/>
        </xdr:nvSpPr>
        <xdr:spPr>
          <a:xfrm>
            <a:off x="1255059" y="3877236"/>
            <a:ext cx="2622176" cy="593912"/>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ES" sz="2400" b="1">
                <a:solidFill>
                  <a:schemeClr val="tx1"/>
                </a:solidFill>
              </a:rPr>
              <a:t>MÁS </a:t>
            </a:r>
            <a:r>
              <a:rPr lang="es-ES" sz="2400" b="1" baseline="0">
                <a:solidFill>
                  <a:schemeClr val="tx1"/>
                </a:solidFill>
              </a:rPr>
              <a:t>PLANTILLAS</a:t>
            </a:r>
            <a:endParaRPr lang="es-ES" sz="2400" b="1">
              <a:solidFill>
                <a:schemeClr val="tx1"/>
              </a:solidFill>
            </a:endParaRPr>
          </a:p>
        </xdr:txBody>
      </xdr:sp>
    </xdr:grpSp>
    <xdr:clientData/>
  </xdr:twoCellAnchor>
  <xdr:oneCellAnchor>
    <xdr:from>
      <xdr:col>2</xdr:col>
      <xdr:colOff>47625</xdr:colOff>
      <xdr:row>0</xdr:row>
      <xdr:rowOff>23813</xdr:rowOff>
    </xdr:from>
    <xdr:ext cx="4119563" cy="619125"/>
    <xdr:sp macro="" textlink="">
      <xdr:nvSpPr>
        <xdr:cNvPr id="18" name="Rectángulo 17">
          <a:hlinkClick xmlns:r="http://schemas.openxmlformats.org/officeDocument/2006/relationships" r:id="rId9"/>
          <a:extLst>
            <a:ext uri="{FF2B5EF4-FFF2-40B4-BE49-F238E27FC236}">
              <a16:creationId xmlns:a16="http://schemas.microsoft.com/office/drawing/2014/main" id="{00000000-0008-0000-0600-000012000000}"/>
            </a:ext>
          </a:extLst>
        </xdr:cNvPr>
        <xdr:cNvSpPr/>
      </xdr:nvSpPr>
      <xdr:spPr>
        <a:xfrm>
          <a:off x="1571625" y="23813"/>
          <a:ext cx="4119563" cy="619125"/>
        </a:xfrm>
        <a:prstGeom prst="rect">
          <a:avLst/>
        </a:prstGeom>
        <a:solidFill>
          <a:schemeClr val="tx1">
            <a:lumMod val="50000"/>
            <a:lumOff val="50000"/>
          </a:schemeClr>
        </a:solidFill>
        <a:ln>
          <a:noFill/>
        </a:ln>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marL="0" indent="0" algn="ctr"/>
          <a:r>
            <a:rPr lang="es-ES" sz="2200" b="1">
              <a:solidFill>
                <a:schemeClr val="bg1"/>
              </a:solidFill>
              <a:latin typeface="Arial" panose="020B0604020202020204" pitchFamily="34" charset="0"/>
              <a:ea typeface="+mn-ea"/>
              <a:cs typeface="Arial" panose="020B0604020202020204" pitchFamily="34" charset="0"/>
            </a:rPr>
            <a:t>CONVERSOR</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5.%20Plantilla_Plan_Viabilidad_Proyect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 AYUDA -"/>
      <sheetName val="INICIO"/>
      <sheetName val="BBDD"/>
      <sheetName val="INVERSIONES"/>
      <sheetName val="FINANCIACIÓN"/>
      <sheetName val="INGRESOS"/>
      <sheetName val="COMPRAS-STOCK"/>
      <sheetName val="GASTO-PERSONAL"/>
      <sheetName val="OTROS GASTOS"/>
      <sheetName val="ESTADO COSTOS"/>
      <sheetName val="RESULTADOS"/>
      <sheetName val="TESORERIA"/>
      <sheetName val="BALANCE"/>
      <sheetName val="FLUJO CAJA"/>
      <sheetName val="INDICADORES"/>
      <sheetName val="SUGERENCIA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persons/person.xml><?xml version="1.0" encoding="utf-8"?>
<personList xmlns="http://schemas.microsoft.com/office/spreadsheetml/2018/threadedcomments" xmlns:x="http://schemas.openxmlformats.org/spreadsheetml/2006/main">
  <person displayName="Jhony Alberto Escobar Castro" id="{FF4B04EF-3F44-4703-940C-7B42613D82C4}" userId="S::jaescobar@utp.edu.co::ef5e75c8-ac7f-43d3-9044-cf3e1dc545de"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hony Escobar" refreshedDate="44481.060628240739" createdVersion="7" refreshedVersion="7" minRefreshableVersion="3" recordCount="7" xr:uid="{ED46F9FD-0CDD-4978-9987-8241D6BACA07}">
  <cacheSource type="worksheet">
    <worksheetSource name="programacion"/>
  </cacheSource>
  <cacheFields count="16">
    <cacheField name="Nombre" numFmtId="0">
      <sharedItems count="9">
        <s v="Jhony Escobar"/>
        <s v="Diego Carlos"/>
        <s v="Juan"/>
        <s v="Pablo"/>
        <s v="Joga"/>
        <s v="Car"/>
        <s v="YO"/>
        <s v="lucas" u="1"/>
        <s v="Messi" u="1"/>
      </sharedItems>
    </cacheField>
    <cacheField name="Área" numFmtId="0">
      <sharedItems count="6">
        <s v="Compras"/>
        <s v="Producción"/>
        <s v="Administración"/>
        <s v="Marketing" u="1"/>
        <s v="Logistica" u="1"/>
        <s v="Comercial" u="1"/>
      </sharedItems>
    </cacheField>
    <cacheField name="Fecha Inicio" numFmtId="14">
      <sharedItems containsSemiMixedTypes="0" containsNonDate="0" containsDate="1" containsString="0" minDate="2021-01-01T00:00:00" maxDate="2021-01-21T00:00:00"/>
    </cacheField>
    <cacheField name="Días Program." numFmtId="167">
      <sharedItems containsSemiMixedTypes="0" containsString="0" containsNumber="1" containsInteger="1" minValue="10" maxValue="50"/>
    </cacheField>
    <cacheField name="Fecha Final" numFmtId="14">
      <sharedItems containsSemiMixedTypes="0" containsNonDate="0" containsDate="1" containsString="0" minDate="2021-01-19T00:00:00" maxDate="2021-04-01T00:00:00"/>
    </cacheField>
    <cacheField name="Fecha Inicio Contrato" numFmtId="14">
      <sharedItems containsSemiMixedTypes="0" containsNonDate="0" containsDate="1" containsString="0" minDate="2015-09-30T00:00:00" maxDate="2020-01-11T00:00:00"/>
    </cacheField>
    <cacheField name="Antigüedad" numFmtId="166">
      <sharedItems containsSemiMixedTypes="0" containsString="0" containsNumber="1" containsInteger="1" minValue="21" maxValue="72"/>
    </cacheField>
    <cacheField name="Fecha Último Corte" numFmtId="14">
      <sharedItems containsSemiMixedTypes="0" containsNonDate="0" containsDate="1" containsString="0" minDate="2020-01-15T00:00:00" maxDate="2021-01-11T00:00:00"/>
    </cacheField>
    <cacheField name="Tiempo Acumulado" numFmtId="168">
      <sharedItems containsSemiMixedTypes="0" containsString="0" containsNumber="1" containsInteger="1" minValue="9" maxValue="20"/>
    </cacheField>
    <cacheField name="Disponible Vacaciones" numFmtId="167">
      <sharedItems containsSemiMixedTypes="0" containsString="0" containsNumber="1" containsInteger="1" minValue="22" maxValue="50"/>
    </cacheField>
    <cacheField name="Salario Integro Mes" numFmtId="171">
      <sharedItems containsSemiMixedTypes="0" containsString="0" containsNumber="1" containsInteger="1" minValue="1500000" maxValue="3000000"/>
    </cacheField>
    <cacheField name="Salario Día" numFmtId="43">
      <sharedItems containsSemiMixedTypes="0" containsString="0" containsNumber="1" minValue="50000" maxValue="100000"/>
    </cacheField>
    <cacheField name="Líquidación Vacaciones" numFmtId="171">
      <sharedItems containsSemiMixedTypes="0" containsString="0" containsNumber="1" minValue="666666.66666666674" maxValue="5000000"/>
    </cacheField>
    <cacheField name="Disponible días" numFmtId="0" formula="SUM('Disponible Vacaciones'-'Días Program.')" databaseField="0"/>
    <cacheField name="ppto Vacaciones" numFmtId="0" formula="'Disponible Vacaciones'*'Salario Día'" databaseField="0"/>
    <cacheField name="%Ejec" numFmtId="0" formula=" IFERROR('Días Program.'/'Disponible Vacaciones',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d v="2021-01-05T00:00:00"/>
    <n v="15"/>
    <d v="2021-01-28T00:00:00"/>
    <d v="2015-09-30T00:00:00"/>
    <n v="72"/>
    <d v="2020-10-04T00:00:00"/>
    <n v="12"/>
    <n v="30"/>
    <n v="1500000"/>
    <n v="50000"/>
    <n v="750000"/>
  </r>
  <r>
    <x v="1"/>
    <x v="1"/>
    <d v="2021-01-10T00:00:00"/>
    <n v="10"/>
    <d v="2021-01-25T00:00:00"/>
    <d v="2019-01-15T00:00:00"/>
    <n v="32"/>
    <d v="2020-01-15T00:00:00"/>
    <n v="20"/>
    <n v="50"/>
    <n v="2000000"/>
    <n v="66666.666666666672"/>
    <n v="666666.66666666674"/>
  </r>
  <r>
    <x v="2"/>
    <x v="2"/>
    <d v="2021-01-01T00:00:00"/>
    <n v="10"/>
    <d v="2021-01-19T00:00:00"/>
    <d v="2020-01-10T00:00:00"/>
    <n v="21"/>
    <d v="2021-01-10T00:00:00"/>
    <n v="9"/>
    <n v="22"/>
    <n v="3000000"/>
    <n v="100000"/>
    <n v="1000000"/>
  </r>
  <r>
    <x v="3"/>
    <x v="0"/>
    <d v="2021-01-20T00:00:00"/>
    <n v="50"/>
    <d v="2021-03-31T00:00:00"/>
    <d v="2020-01-10T00:00:00"/>
    <n v="21"/>
    <d v="2021-01-10T00:00:00"/>
    <n v="9"/>
    <n v="22"/>
    <n v="3000000"/>
    <n v="100000"/>
    <n v="5000000"/>
  </r>
  <r>
    <x v="4"/>
    <x v="0"/>
    <d v="2021-01-20T00:00:00"/>
    <n v="50"/>
    <d v="2021-03-31T00:00:00"/>
    <d v="2020-01-10T00:00:00"/>
    <n v="21"/>
    <d v="2021-01-10T00:00:00"/>
    <n v="9"/>
    <n v="22"/>
    <n v="3000000"/>
    <n v="100000"/>
    <n v="5000000"/>
  </r>
  <r>
    <x v="5"/>
    <x v="0"/>
    <d v="2021-01-20T00:00:00"/>
    <n v="50"/>
    <d v="2021-03-31T00:00:00"/>
    <d v="2020-01-10T00:00:00"/>
    <n v="21"/>
    <d v="2021-01-10T00:00:00"/>
    <n v="9"/>
    <n v="22"/>
    <n v="3000000"/>
    <n v="100000"/>
    <n v="5000000"/>
  </r>
  <r>
    <x v="6"/>
    <x v="0"/>
    <d v="2021-01-20T00:00:00"/>
    <n v="50"/>
    <d v="2021-03-31T00:00:00"/>
    <d v="2020-01-10T00:00:00"/>
    <n v="21"/>
    <d v="2021-01-10T00:00:00"/>
    <n v="9"/>
    <n v="22"/>
    <n v="3000000"/>
    <n v="100000"/>
    <n v="5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771A8D1-5A98-4558-9050-E3E54A0A056F}" name="TablaDinámica2" cacheId="20" dataOnRows="1" applyNumberFormats="0" applyBorderFormats="0" applyFontFormats="0" applyPatternFormats="0" applyAlignmentFormats="0" applyWidthHeightFormats="1" dataCaption="Valores" updatedVersion="7" minRefreshableVersion="3" itemPrintTitles="1" createdVersion="7" indent="0" outline="1" outlineData="1" multipleFieldFilters="0" rowHeaderCaption="Empleado">
  <location ref="A12:B51" firstHeaderRow="1" firstDataRow="1" firstDataCol="1" rowPageCount="1" colPageCount="1"/>
  <pivotFields count="16">
    <pivotField axis="axisRow" showAll="0" defaultSubtotal="0">
      <items count="9">
        <item x="1"/>
        <item x="0"/>
        <item x="2"/>
        <item x="3"/>
        <item m="1" x="7"/>
        <item m="1" x="8"/>
        <item x="4"/>
        <item x="5"/>
        <item x="6"/>
      </items>
    </pivotField>
    <pivotField axis="axisPage" showAll="0">
      <items count="7">
        <item x="2"/>
        <item x="0"/>
        <item x="1"/>
        <item m="1" x="3"/>
        <item m="1" x="5"/>
        <item m="1" x="4"/>
        <item t="default"/>
      </items>
    </pivotField>
    <pivotField numFmtId="14" showAll="0"/>
    <pivotField dataField="1" numFmtId="167" showAll="0"/>
    <pivotField numFmtId="14" showAll="0"/>
    <pivotField numFmtId="14" showAll="0"/>
    <pivotField numFmtId="166" showAll="0"/>
    <pivotField numFmtId="14" showAll="0"/>
    <pivotField numFmtId="168" showAll="0"/>
    <pivotField dataField="1" numFmtId="167" showAll="0"/>
    <pivotField numFmtId="171" showAll="0"/>
    <pivotField numFmtId="43" showAll="0"/>
    <pivotField showAll="0"/>
    <pivotField dataField="1" dragToRow="0" dragToCol="0" dragToPage="0" showAll="0" defaultSubtotal="0"/>
    <pivotField dragToRow="0" dragToCol="0" dragToPage="0" showAll="0" defaultSubtotal="0"/>
    <pivotField dataField="1" dragToRow="0" dragToCol="0" dragToPage="0" showAll="0" defaultSubtotal="0"/>
  </pivotFields>
  <rowFields count="2">
    <field x="0"/>
    <field x="-2"/>
  </rowFields>
  <rowItems count="39">
    <i>
      <x/>
    </i>
    <i r="1">
      <x/>
    </i>
    <i r="1" i="1">
      <x v="1"/>
    </i>
    <i r="1" i="2">
      <x v="2"/>
    </i>
    <i r="1" i="3">
      <x v="3"/>
    </i>
    <i>
      <x v="1"/>
    </i>
    <i r="1">
      <x/>
    </i>
    <i r="1" i="1">
      <x v="1"/>
    </i>
    <i r="1" i="2">
      <x v="2"/>
    </i>
    <i r="1" i="3">
      <x v="3"/>
    </i>
    <i>
      <x v="2"/>
    </i>
    <i r="1">
      <x/>
    </i>
    <i r="1" i="1">
      <x v="1"/>
    </i>
    <i r="1" i="2">
      <x v="2"/>
    </i>
    <i r="1" i="3">
      <x v="3"/>
    </i>
    <i>
      <x v="3"/>
    </i>
    <i r="1">
      <x/>
    </i>
    <i r="1" i="1">
      <x v="1"/>
    </i>
    <i r="1" i="2">
      <x v="2"/>
    </i>
    <i r="1" i="3">
      <x v="3"/>
    </i>
    <i>
      <x v="6"/>
    </i>
    <i r="1">
      <x/>
    </i>
    <i r="1" i="1">
      <x v="1"/>
    </i>
    <i r="1" i="2">
      <x v="2"/>
    </i>
    <i r="1" i="3">
      <x v="3"/>
    </i>
    <i>
      <x v="7"/>
    </i>
    <i r="1">
      <x/>
    </i>
    <i r="1" i="1">
      <x v="1"/>
    </i>
    <i r="1" i="2">
      <x v="2"/>
    </i>
    <i r="1" i="3">
      <x v="3"/>
    </i>
    <i>
      <x v="8"/>
    </i>
    <i r="1">
      <x/>
    </i>
    <i r="1" i="1">
      <x v="1"/>
    </i>
    <i r="1" i="2">
      <x v="2"/>
    </i>
    <i r="1" i="3">
      <x v="3"/>
    </i>
    <i t="grand">
      <x/>
    </i>
    <i t="grand" i="1">
      <x/>
    </i>
    <i t="grand" i="2">
      <x/>
    </i>
    <i t="grand" i="3">
      <x/>
    </i>
  </rowItems>
  <colItems count="1">
    <i/>
  </colItems>
  <pageFields count="1">
    <pageField fld="1" hier="-1"/>
  </pageFields>
  <dataFields count="4">
    <dataField name="Disponible (días)" fld="9" baseField="0" baseItem="0"/>
    <dataField name=" Días Program." fld="3" baseField="0" baseItem="0" numFmtId="3"/>
    <dataField name=" Saldo (días)" fld="13" baseField="0" baseItem="0" numFmtId="38"/>
    <dataField name="  %Ejec" fld="15" baseField="0" baseItem="0" numFmtId="172"/>
  </dataFields>
  <formats count="2">
    <format dxfId="1">
      <pivotArea field="0" grandRow="1" outline="0" collapsedLevelsAreSubtotals="1" axis="axisRow" fieldPosition="0">
        <references count="1">
          <reference field="4294967294" count="1" selected="0">
            <x v="2"/>
          </reference>
        </references>
      </pivotArea>
    </format>
    <format dxfId="0">
      <pivotArea dataOnly="0" labelOnly="1" outline="0" fieldPosition="0">
        <references count="2">
          <reference field="4294967294" count="1">
            <x v="2"/>
          </reference>
          <reference field="0" count="1" selected="0">
            <x v="1"/>
          </reference>
        </references>
      </pivotArea>
    </format>
  </formats>
  <conditionalFormats count="1">
    <conditionalFormat scope="data" priority="5">
      <pivotAreas count="1">
        <pivotArea outline="0" fieldPosition="0">
          <references count="1">
            <reference field="4294967294" count="1" selected="0">
              <x v="3"/>
            </reference>
          </references>
        </pivotArea>
      </pivotAreas>
    </conditionalFormat>
  </conditionalFormats>
  <pivotTableStyleInfo name="PivotStyleMedium13 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58A382-92DA-44F5-A4F3-8745BE9091B2}" name="vacaciones" displayName="vacaciones" ref="A1:E160" totalsRowShown="0">
  <autoFilter ref="A1:E160" xr:uid="{DE58A382-92DA-44F5-A4F3-8745BE9091B2}"/>
  <tableColumns count="5">
    <tableColumn id="4" xr3:uid="{2F3A5038-089C-4504-AA14-2C96E77FE7E3}" name="Concatenado" dataDxfId="23">
      <calculatedColumnFormula>+vacaciones[[#This Row],[País]]&amp;vacaciones[[#This Row],[Años laborados]]</calculatedColumnFormula>
    </tableColumn>
    <tableColumn id="1" xr3:uid="{011D60E0-B354-469D-A254-2A629431D131}" name="País"/>
    <tableColumn id="2" xr3:uid="{E628234F-CE0B-459C-86C7-14BD52DC951F}" name="Años laborados"/>
    <tableColumn id="3" xr3:uid="{5232B648-6A38-4F19-8562-EA61C9ABFC7C}" name="Dias de Vacaciones"/>
    <tableColumn id="5" xr3:uid="{E263CDAB-A367-4F90-A351-CD26841448D8}" name="Factor / Mes" dataDxfId="22">
      <calculatedColumnFormula>+vacaciones[[#This Row],[Dias de Vacaciones]]/12</calculatedColumnFormula>
    </tableColumn>
  </tableColumns>
  <tableStyleInfo name="TableStyleMedium2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FD0A1BA-2259-4F2F-AEF7-41504F3CFCBE}" name="nolaborales" displayName="nolaborales" ref="E4:H16" totalsRowShown="0">
  <autoFilter ref="E4:H16" xr:uid="{2FD0A1BA-2259-4F2F-AEF7-41504F3CFCBE}"/>
  <tableColumns count="4">
    <tableColumn id="1" xr3:uid="{6ACAE28F-2C61-4FD9-BF3B-293222405E80}" name="Fecha" dataDxfId="21"/>
    <tableColumn id="2" xr3:uid="{D5AA71EC-D9B8-4B8D-9EBD-DC5BDE789F65}" name="Celebración"/>
    <tableColumn id="3" xr3:uid="{A232EC48-4FE6-4222-BF5F-27B4BC25DF5F}" name="Concepto"/>
    <tableColumn id="4" xr3:uid="{D9E0226E-19B4-4D6F-B21C-157C33FB4CB4}" name="Fecha Presente" dataDxfId="20">
      <calculatedColumnFormula>+SUBSTITUTE(TEXT(nolaborales[[#This Row],[Fecha]],"dd/mm/aaaa"),RIGHT(TEXT(nolaborales[[#This Row],[Fecha]],"dd/mm/aaaa"),4),$B$4)*1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96F0B0B-37B2-41FE-AA52-412B044A4BC2}" name="Conceptos" displayName="Conceptos" ref="J4:J6" totalsRowShown="0" headerRowDxfId="19">
  <autoFilter ref="J4:J6" xr:uid="{196F0B0B-37B2-41FE-AA52-412B044A4BC2}"/>
  <tableColumns count="1">
    <tableColumn id="1" xr3:uid="{3607CE72-12AB-4A15-A76E-A6F35D440DA6}" name="Concepto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499D35E-07EF-48E8-B554-221B3CEC490F}" name="Tabla6" displayName="Tabla6" ref="L4:M6" totalsRowShown="0">
  <autoFilter ref="L4:M6" xr:uid="{D499D35E-07EF-48E8-B554-221B3CEC490F}"/>
  <tableColumns count="2">
    <tableColumn id="1" xr3:uid="{67BA4A70-779D-4E0D-9282-9E81E10AF842}" name="Jornada"/>
    <tableColumn id="2" xr3:uid="{0F9E141C-3603-48E0-834B-F7AE489B4E95}" name="Cdigo"/>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BBBF37-E6D5-48B6-BE46-AA9E71817DA7}" name="areas" displayName="areas" ref="A12:A18" totalsRowShown="0" headerRowDxfId="18">
  <autoFilter ref="A12:A18" xr:uid="{B5BBBF37-E6D5-48B6-BE46-AA9E71817DA7}"/>
  <tableColumns count="1">
    <tableColumn id="1" xr3:uid="{9EDF44A3-0563-4179-883D-8DBB7E269FE6}" name="Área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60B0A5-9D20-4CE8-A6FC-3DA3F5E829C1}" name="programacion" displayName="programacion" ref="A6:M13" totalsRowShown="0" headerRowDxfId="17" dataDxfId="16">
  <autoFilter ref="A6:M13" xr:uid="{3C60B0A5-9D20-4CE8-A6FC-3DA3F5E829C1}"/>
  <tableColumns count="13">
    <tableColumn id="1" xr3:uid="{78CC1E34-4860-48A2-93B2-E6B025A3DA4F}" name="Nombre"/>
    <tableColumn id="2" xr3:uid="{B7531320-686B-4D64-9C5B-2BFFA801979C}" name="Área" dataDxfId="15"/>
    <tableColumn id="9" xr3:uid="{6F8E54D2-23A3-4A13-B79C-2A46344744AC}" name="Fecha Inicio" dataDxfId="14"/>
    <tableColumn id="8" xr3:uid="{83EF108A-FB62-4AFC-AF2B-06791E838416}" name="Días Program." dataDxfId="13"/>
    <tableColumn id="10" xr3:uid="{C6E2CE16-DCC4-4CDB-97D9-35DE3579EE8F}" name="Fecha Final" dataDxfId="12">
      <calculatedColumnFormula>+WORKDAY.INTL(programacion[[#This Row],[Fecha Inicio]],programacion[[#This Row],[Días Program.]],$B$1,nolaborales[Fecha Presente])</calculatedColumnFormula>
    </tableColumn>
    <tableColumn id="3" xr3:uid="{288A051F-1346-4814-8EE6-24AA0B39E9E8}" name="Fecha Inicio Contrato" dataDxfId="11"/>
    <tableColumn id="4" xr3:uid="{3B689B7E-47EC-4C33-85A8-483129ACEEED}" name="Antigüedad" dataDxfId="10">
      <calculatedColumnFormula>+DATEDIF(F7,TODAY(),"m")</calculatedColumnFormula>
    </tableColumn>
    <tableColumn id="5" xr3:uid="{4C3A52AB-D601-4B8B-9CEC-82F556A81497}" name="Fecha Último Corte" dataDxfId="9"/>
    <tableColumn id="6" xr3:uid="{9722CE54-4832-4FF2-A089-2933DBBD8231}" name="Tiempo Acumulado" dataDxfId="8">
      <calculatedColumnFormula>+DATEDIF(H7,TODAY(),"m")</calculatedColumnFormula>
    </tableColumn>
    <tableColumn id="7" xr3:uid="{27B8DEBA-1B82-4C08-9A5C-278E5161C3AC}" name="Disponible Vacaciones" dataDxfId="7">
      <calculatedColumnFormula>+INT(IFERROR(VLOOKUP($B$2&amp;INT(G7/12),vacaciones[#All],5,FALSE),0)*I7)</calculatedColumnFormula>
    </tableColumn>
    <tableColumn id="11" xr3:uid="{4D0D60EF-2C7A-48C9-89FB-186E8185C4C2}" name="Salario Integro Mes" dataDxfId="6"/>
    <tableColumn id="12" xr3:uid="{BC22B8B2-1109-4FBF-9754-41A78C3210B9}" name="Salario Día" dataDxfId="5">
      <calculatedColumnFormula>+programacion[[#This Row],[Salario Integro Mes]]/30</calculatedColumnFormula>
    </tableColumn>
    <tableColumn id="13" xr3:uid="{924129C6-E9EB-4F69-BDF3-B6E9F69F740F}" name="Líquidación Vacaciones" dataDxfId="4">
      <calculatedColumnFormula>+programacion[[#This Row],[Salario Día]]*programacion[[#This Row],[Días Program.]]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6" dT="2021-10-04T23:56:56.34" personId="{FF4B04EF-3F44-4703-940C-7B42613D82C4}" id="{BCC226A1-08FA-4F62-9D48-948AEBC243F0}">
    <text>Incluye: Salario Base  + Complementos (Aux. transporte) + Pagas extras prorrateadas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6.xml"/><Relationship Id="rId1" Type="http://schemas.openxmlformats.org/officeDocument/2006/relationships/vmlDrawing" Target="../drawings/vmlDrawing2.vml"/><Relationship Id="rId4"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xcelparatodos.com/" TargetMode="External"/><Relationship Id="rId1" Type="http://schemas.openxmlformats.org/officeDocument/2006/relationships/pivotTable" Target="../pivotTables/pivotTable1.xm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excelparatodos.com/evaluacion-de-proyectos/" TargetMode="External"/><Relationship Id="rId7" Type="http://schemas.openxmlformats.org/officeDocument/2006/relationships/hyperlink" Target="https://excelparatodos.com/evaluacion-de-proyectos/" TargetMode="External"/><Relationship Id="rId2" Type="http://schemas.openxmlformats.org/officeDocument/2006/relationships/hyperlink" Target="https://excelparatodos.com/producto/simulador-de-creditos-premium/" TargetMode="External"/><Relationship Id="rId1" Type="http://schemas.openxmlformats.org/officeDocument/2006/relationships/hyperlink" Target="https://excelparatodos.com/producto/simulador-de-creditos-premium/" TargetMode="External"/><Relationship Id="rId6" Type="http://schemas.openxmlformats.org/officeDocument/2006/relationships/hyperlink" Target="https://excelparatodos.com/producto/plantilla-de-ausentismo-e-incapacidades-premium/" TargetMode="External"/><Relationship Id="rId5" Type="http://schemas.openxmlformats.org/officeDocument/2006/relationships/hyperlink" Target="https://excelparatodos.com/producto/plantilla-de-ausentismo-e-incapacidades-premium/" TargetMode="External"/><Relationship Id="rId4" Type="http://schemas.openxmlformats.org/officeDocument/2006/relationships/hyperlink" Target="https://excelparatodos.com/evaluacion-de-proyectos/" TargetMode="External"/><Relationship Id="rId9"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48A17-50C8-409C-86FF-25F69E672B60}">
  <sheetPr codeName="Hoja2"/>
  <dimension ref="A1:E160"/>
  <sheetViews>
    <sheetView showGridLines="0" workbookViewId="0">
      <pane ySplit="1" topLeftCell="A2" activePane="bottomLeft" state="frozen"/>
      <selection pane="bottomLeft" activeCell="E1" sqref="E1"/>
    </sheetView>
  </sheetViews>
  <sheetFormatPr baseColWidth="10" defaultRowHeight="14.25" x14ac:dyDescent="0.2"/>
  <cols>
    <col min="2" max="2" width="16.375" customWidth="1"/>
    <col min="3" max="3" width="19.875" customWidth="1"/>
  </cols>
  <sheetData>
    <row r="1" spans="1:5" x14ac:dyDescent="0.2">
      <c r="A1" t="s">
        <v>38</v>
      </c>
      <c r="B1" t="s">
        <v>33</v>
      </c>
      <c r="C1" t="s">
        <v>31</v>
      </c>
      <c r="D1" t="s">
        <v>32</v>
      </c>
      <c r="E1" t="s">
        <v>39</v>
      </c>
    </row>
    <row r="2" spans="1:5" x14ac:dyDescent="0.2">
      <c r="A2" t="str">
        <f>+vacaciones[[#This Row],[País]]&amp;vacaciones[[#This Row],[Años laborados]]</f>
        <v>Colombia1</v>
      </c>
      <c r="B2" t="s">
        <v>34</v>
      </c>
      <c r="C2">
        <v>1</v>
      </c>
      <c r="D2">
        <v>15</v>
      </c>
      <c r="E2" s="11">
        <f>+vacaciones[[#This Row],[Dias de Vacaciones]]/12</f>
        <v>1.25</v>
      </c>
    </row>
    <row r="3" spans="1:5" x14ac:dyDescent="0.2">
      <c r="A3" t="str">
        <f>+vacaciones[[#This Row],[País]]&amp;vacaciones[[#This Row],[Años laborados]]</f>
        <v>Colombia2</v>
      </c>
      <c r="B3" t="s">
        <v>34</v>
      </c>
      <c r="C3">
        <f>+C2+1</f>
        <v>2</v>
      </c>
      <c r="D3">
        <v>15</v>
      </c>
      <c r="E3" s="11">
        <f>+vacaciones[[#This Row],[Dias de Vacaciones]]/12</f>
        <v>1.25</v>
      </c>
    </row>
    <row r="4" spans="1:5" x14ac:dyDescent="0.2">
      <c r="A4" t="str">
        <f>+vacaciones[[#This Row],[País]]&amp;vacaciones[[#This Row],[Años laborados]]</f>
        <v>Colombia3</v>
      </c>
      <c r="B4" t="s">
        <v>34</v>
      </c>
      <c r="C4">
        <f t="shared" ref="C4:C29" si="0">+C3+1</f>
        <v>3</v>
      </c>
      <c r="D4">
        <v>15</v>
      </c>
      <c r="E4" s="11">
        <f>+vacaciones[[#This Row],[Dias de Vacaciones]]/12</f>
        <v>1.25</v>
      </c>
    </row>
    <row r="5" spans="1:5" x14ac:dyDescent="0.2">
      <c r="A5" t="str">
        <f>+vacaciones[[#This Row],[País]]&amp;vacaciones[[#This Row],[Años laborados]]</f>
        <v>Colombia4</v>
      </c>
      <c r="B5" t="s">
        <v>34</v>
      </c>
      <c r="C5">
        <f t="shared" si="0"/>
        <v>4</v>
      </c>
      <c r="D5">
        <v>15</v>
      </c>
      <c r="E5" s="11">
        <f>+vacaciones[[#This Row],[Dias de Vacaciones]]/12</f>
        <v>1.25</v>
      </c>
    </row>
    <row r="6" spans="1:5" x14ac:dyDescent="0.2">
      <c r="A6" t="str">
        <f>+vacaciones[[#This Row],[País]]&amp;vacaciones[[#This Row],[Años laborados]]</f>
        <v>Colombia5</v>
      </c>
      <c r="B6" t="s">
        <v>34</v>
      </c>
      <c r="C6">
        <f t="shared" si="0"/>
        <v>5</v>
      </c>
      <c r="D6">
        <v>15</v>
      </c>
      <c r="E6" s="11">
        <f>+vacaciones[[#This Row],[Dias de Vacaciones]]/12</f>
        <v>1.25</v>
      </c>
    </row>
    <row r="7" spans="1:5" x14ac:dyDescent="0.2">
      <c r="A7" t="str">
        <f>+vacaciones[[#This Row],[País]]&amp;vacaciones[[#This Row],[Años laborados]]</f>
        <v>Colombia6</v>
      </c>
      <c r="B7" t="s">
        <v>34</v>
      </c>
      <c r="C7">
        <f t="shared" si="0"/>
        <v>6</v>
      </c>
      <c r="D7">
        <v>15</v>
      </c>
      <c r="E7" s="11">
        <f>+vacaciones[[#This Row],[Dias de Vacaciones]]/12</f>
        <v>1.25</v>
      </c>
    </row>
    <row r="8" spans="1:5" x14ac:dyDescent="0.2">
      <c r="A8" t="str">
        <f>+vacaciones[[#This Row],[País]]&amp;vacaciones[[#This Row],[Años laborados]]</f>
        <v>Colombia7</v>
      </c>
      <c r="B8" t="s">
        <v>34</v>
      </c>
      <c r="C8">
        <f t="shared" si="0"/>
        <v>7</v>
      </c>
      <c r="D8">
        <v>15</v>
      </c>
      <c r="E8" s="11">
        <f>+vacaciones[[#This Row],[Dias de Vacaciones]]/12</f>
        <v>1.25</v>
      </c>
    </row>
    <row r="9" spans="1:5" x14ac:dyDescent="0.2">
      <c r="A9" t="str">
        <f>+vacaciones[[#This Row],[País]]&amp;vacaciones[[#This Row],[Años laborados]]</f>
        <v>Colombia8</v>
      </c>
      <c r="B9" t="s">
        <v>34</v>
      </c>
      <c r="C9">
        <f t="shared" si="0"/>
        <v>8</v>
      </c>
      <c r="D9">
        <v>15</v>
      </c>
      <c r="E9" s="11">
        <f>+vacaciones[[#This Row],[Dias de Vacaciones]]/12</f>
        <v>1.25</v>
      </c>
    </row>
    <row r="10" spans="1:5" x14ac:dyDescent="0.2">
      <c r="A10" t="str">
        <f>+vacaciones[[#This Row],[País]]&amp;vacaciones[[#This Row],[Años laborados]]</f>
        <v>Colombia9</v>
      </c>
      <c r="B10" t="s">
        <v>34</v>
      </c>
      <c r="C10">
        <f t="shared" si="0"/>
        <v>9</v>
      </c>
      <c r="D10">
        <v>15</v>
      </c>
      <c r="E10" s="11">
        <f>+vacaciones[[#This Row],[Dias de Vacaciones]]/12</f>
        <v>1.25</v>
      </c>
    </row>
    <row r="11" spans="1:5" x14ac:dyDescent="0.2">
      <c r="A11" t="str">
        <f>+vacaciones[[#This Row],[País]]&amp;vacaciones[[#This Row],[Años laborados]]</f>
        <v>Colombia10</v>
      </c>
      <c r="B11" t="s">
        <v>34</v>
      </c>
      <c r="C11">
        <f t="shared" si="0"/>
        <v>10</v>
      </c>
      <c r="D11">
        <v>15</v>
      </c>
      <c r="E11" s="11">
        <f>+vacaciones[[#This Row],[Dias de Vacaciones]]/12</f>
        <v>1.25</v>
      </c>
    </row>
    <row r="12" spans="1:5" x14ac:dyDescent="0.2">
      <c r="A12" t="str">
        <f>+vacaciones[[#This Row],[País]]&amp;vacaciones[[#This Row],[Años laborados]]</f>
        <v>Colombia11</v>
      </c>
      <c r="B12" t="s">
        <v>34</v>
      </c>
      <c r="C12">
        <f t="shared" si="0"/>
        <v>11</v>
      </c>
      <c r="D12">
        <v>15</v>
      </c>
      <c r="E12" s="11">
        <f>+vacaciones[[#This Row],[Dias de Vacaciones]]/12</f>
        <v>1.25</v>
      </c>
    </row>
    <row r="13" spans="1:5" x14ac:dyDescent="0.2">
      <c r="A13" t="str">
        <f>+vacaciones[[#This Row],[País]]&amp;vacaciones[[#This Row],[Años laborados]]</f>
        <v>Colombia12</v>
      </c>
      <c r="B13" t="s">
        <v>34</v>
      </c>
      <c r="C13">
        <f t="shared" si="0"/>
        <v>12</v>
      </c>
      <c r="D13">
        <v>15</v>
      </c>
      <c r="E13" s="11">
        <f>+vacaciones[[#This Row],[Dias de Vacaciones]]/12</f>
        <v>1.25</v>
      </c>
    </row>
    <row r="14" spans="1:5" x14ac:dyDescent="0.2">
      <c r="A14" t="str">
        <f>+vacaciones[[#This Row],[País]]&amp;vacaciones[[#This Row],[Años laborados]]</f>
        <v>Colombia13</v>
      </c>
      <c r="B14" t="s">
        <v>34</v>
      </c>
      <c r="C14">
        <f t="shared" si="0"/>
        <v>13</v>
      </c>
      <c r="D14">
        <v>15</v>
      </c>
      <c r="E14" s="11">
        <f>+vacaciones[[#This Row],[Dias de Vacaciones]]/12</f>
        <v>1.25</v>
      </c>
    </row>
    <row r="15" spans="1:5" x14ac:dyDescent="0.2">
      <c r="A15" t="str">
        <f>+vacaciones[[#This Row],[País]]&amp;vacaciones[[#This Row],[Años laborados]]</f>
        <v>Colombia14</v>
      </c>
      <c r="B15" t="s">
        <v>34</v>
      </c>
      <c r="C15">
        <f t="shared" si="0"/>
        <v>14</v>
      </c>
      <c r="D15">
        <v>15</v>
      </c>
      <c r="E15" s="11">
        <f>+vacaciones[[#This Row],[Dias de Vacaciones]]/12</f>
        <v>1.25</v>
      </c>
    </row>
    <row r="16" spans="1:5" x14ac:dyDescent="0.2">
      <c r="A16" t="str">
        <f>+vacaciones[[#This Row],[País]]&amp;vacaciones[[#This Row],[Años laborados]]</f>
        <v>Colombia15</v>
      </c>
      <c r="B16" t="s">
        <v>34</v>
      </c>
      <c r="C16">
        <f t="shared" si="0"/>
        <v>15</v>
      </c>
      <c r="D16">
        <v>15</v>
      </c>
      <c r="E16" s="11">
        <f>+vacaciones[[#This Row],[Dias de Vacaciones]]/12</f>
        <v>1.25</v>
      </c>
    </row>
    <row r="17" spans="1:5" x14ac:dyDescent="0.2">
      <c r="A17" t="str">
        <f>+vacaciones[[#This Row],[País]]&amp;vacaciones[[#This Row],[Años laborados]]</f>
        <v>Colombia16</v>
      </c>
      <c r="B17" t="s">
        <v>34</v>
      </c>
      <c r="C17">
        <f t="shared" si="0"/>
        <v>16</v>
      </c>
      <c r="D17">
        <v>15</v>
      </c>
      <c r="E17" s="11">
        <f>+vacaciones[[#This Row],[Dias de Vacaciones]]/12</f>
        <v>1.25</v>
      </c>
    </row>
    <row r="18" spans="1:5" x14ac:dyDescent="0.2">
      <c r="A18" t="str">
        <f>+vacaciones[[#This Row],[País]]&amp;vacaciones[[#This Row],[Años laborados]]</f>
        <v>Colombia17</v>
      </c>
      <c r="B18" t="s">
        <v>34</v>
      </c>
      <c r="C18">
        <f t="shared" si="0"/>
        <v>17</v>
      </c>
      <c r="D18">
        <v>15</v>
      </c>
      <c r="E18" s="11">
        <f>+vacaciones[[#This Row],[Dias de Vacaciones]]/12</f>
        <v>1.25</v>
      </c>
    </row>
    <row r="19" spans="1:5" x14ac:dyDescent="0.2">
      <c r="A19" t="str">
        <f>+vacaciones[[#This Row],[País]]&amp;vacaciones[[#This Row],[Años laborados]]</f>
        <v>Colombia18</v>
      </c>
      <c r="B19" t="s">
        <v>34</v>
      </c>
      <c r="C19">
        <f t="shared" si="0"/>
        <v>18</v>
      </c>
      <c r="D19">
        <v>15</v>
      </c>
      <c r="E19" s="11">
        <f>+vacaciones[[#This Row],[Dias de Vacaciones]]/12</f>
        <v>1.25</v>
      </c>
    </row>
    <row r="20" spans="1:5" x14ac:dyDescent="0.2">
      <c r="A20" t="str">
        <f>+vacaciones[[#This Row],[País]]&amp;vacaciones[[#This Row],[Años laborados]]</f>
        <v>Colombia19</v>
      </c>
      <c r="B20" t="s">
        <v>34</v>
      </c>
      <c r="C20">
        <f t="shared" si="0"/>
        <v>19</v>
      </c>
      <c r="D20">
        <v>15</v>
      </c>
      <c r="E20" s="11">
        <f>+vacaciones[[#This Row],[Dias de Vacaciones]]/12</f>
        <v>1.25</v>
      </c>
    </row>
    <row r="21" spans="1:5" x14ac:dyDescent="0.2">
      <c r="A21" t="str">
        <f>+vacaciones[[#This Row],[País]]&amp;vacaciones[[#This Row],[Años laborados]]</f>
        <v>Colombia20</v>
      </c>
      <c r="B21" t="s">
        <v>34</v>
      </c>
      <c r="C21">
        <f t="shared" si="0"/>
        <v>20</v>
      </c>
      <c r="D21">
        <v>15</v>
      </c>
      <c r="E21" s="11">
        <f>+vacaciones[[#This Row],[Dias de Vacaciones]]/12</f>
        <v>1.25</v>
      </c>
    </row>
    <row r="22" spans="1:5" x14ac:dyDescent="0.2">
      <c r="A22" t="str">
        <f>+vacaciones[[#This Row],[País]]&amp;vacaciones[[#This Row],[Años laborados]]</f>
        <v>Colombia21</v>
      </c>
      <c r="B22" t="s">
        <v>34</v>
      </c>
      <c r="C22">
        <f t="shared" si="0"/>
        <v>21</v>
      </c>
      <c r="D22">
        <v>15</v>
      </c>
      <c r="E22" s="11">
        <f>+vacaciones[[#This Row],[Dias de Vacaciones]]/12</f>
        <v>1.25</v>
      </c>
    </row>
    <row r="23" spans="1:5" x14ac:dyDescent="0.2">
      <c r="A23" t="str">
        <f>+vacaciones[[#This Row],[País]]&amp;vacaciones[[#This Row],[Años laborados]]</f>
        <v>Colombia22</v>
      </c>
      <c r="B23" t="s">
        <v>34</v>
      </c>
      <c r="C23">
        <f t="shared" si="0"/>
        <v>22</v>
      </c>
      <c r="D23">
        <v>15</v>
      </c>
      <c r="E23" s="11">
        <f>+vacaciones[[#This Row],[Dias de Vacaciones]]/12</f>
        <v>1.25</v>
      </c>
    </row>
    <row r="24" spans="1:5" x14ac:dyDescent="0.2">
      <c r="A24" t="str">
        <f>+vacaciones[[#This Row],[País]]&amp;vacaciones[[#This Row],[Años laborados]]</f>
        <v>Colombia23</v>
      </c>
      <c r="B24" t="s">
        <v>34</v>
      </c>
      <c r="C24">
        <f t="shared" si="0"/>
        <v>23</v>
      </c>
      <c r="D24">
        <v>15</v>
      </c>
      <c r="E24" s="11">
        <f>+vacaciones[[#This Row],[Dias de Vacaciones]]/12</f>
        <v>1.25</v>
      </c>
    </row>
    <row r="25" spans="1:5" x14ac:dyDescent="0.2">
      <c r="A25" t="str">
        <f>+vacaciones[[#This Row],[País]]&amp;vacaciones[[#This Row],[Años laborados]]</f>
        <v>Colombia24</v>
      </c>
      <c r="B25" t="s">
        <v>34</v>
      </c>
      <c r="C25">
        <f t="shared" si="0"/>
        <v>24</v>
      </c>
      <c r="D25">
        <v>15</v>
      </c>
      <c r="E25" s="11">
        <f>+vacaciones[[#This Row],[Dias de Vacaciones]]/12</f>
        <v>1.25</v>
      </c>
    </row>
    <row r="26" spans="1:5" x14ac:dyDescent="0.2">
      <c r="A26" t="str">
        <f>+vacaciones[[#This Row],[País]]&amp;vacaciones[[#This Row],[Años laborados]]</f>
        <v>Colombia25</v>
      </c>
      <c r="B26" t="s">
        <v>34</v>
      </c>
      <c r="C26">
        <f t="shared" si="0"/>
        <v>25</v>
      </c>
      <c r="D26">
        <v>15</v>
      </c>
      <c r="E26" s="11">
        <f>+vacaciones[[#This Row],[Dias de Vacaciones]]/12</f>
        <v>1.25</v>
      </c>
    </row>
    <row r="27" spans="1:5" x14ac:dyDescent="0.2">
      <c r="A27" t="str">
        <f>+vacaciones[[#This Row],[País]]&amp;vacaciones[[#This Row],[Años laborados]]</f>
        <v>Colombia26</v>
      </c>
      <c r="B27" t="s">
        <v>34</v>
      </c>
      <c r="C27">
        <f t="shared" si="0"/>
        <v>26</v>
      </c>
      <c r="D27">
        <v>15</v>
      </c>
      <c r="E27" s="11">
        <f>+vacaciones[[#This Row],[Dias de Vacaciones]]/12</f>
        <v>1.25</v>
      </c>
    </row>
    <row r="28" spans="1:5" x14ac:dyDescent="0.2">
      <c r="A28" t="str">
        <f>+vacaciones[[#This Row],[País]]&amp;vacaciones[[#This Row],[Años laborados]]</f>
        <v>Colombia27</v>
      </c>
      <c r="B28" t="s">
        <v>34</v>
      </c>
      <c r="C28">
        <f t="shared" si="0"/>
        <v>27</v>
      </c>
      <c r="D28">
        <v>15</v>
      </c>
      <c r="E28" s="11">
        <f>+vacaciones[[#This Row],[Dias de Vacaciones]]/12</f>
        <v>1.25</v>
      </c>
    </row>
    <row r="29" spans="1:5" x14ac:dyDescent="0.2">
      <c r="A29" t="str">
        <f>+vacaciones[[#This Row],[País]]&amp;vacaciones[[#This Row],[Años laborados]]</f>
        <v>Colombia28</v>
      </c>
      <c r="B29" t="s">
        <v>34</v>
      </c>
      <c r="C29">
        <f t="shared" si="0"/>
        <v>28</v>
      </c>
      <c r="D29">
        <v>15</v>
      </c>
      <c r="E29" s="11">
        <f>+vacaciones[[#This Row],[Dias de Vacaciones]]/12</f>
        <v>1.25</v>
      </c>
    </row>
    <row r="30" spans="1:5" x14ac:dyDescent="0.2">
      <c r="A30" t="str">
        <f>+vacaciones[[#This Row],[País]]&amp;vacaciones[[#This Row],[Años laborados]]</f>
        <v>Colombia29</v>
      </c>
      <c r="B30" t="s">
        <v>34</v>
      </c>
      <c r="C30">
        <f t="shared" ref="C30:C55" si="1">+C29+1</f>
        <v>29</v>
      </c>
      <c r="D30">
        <v>15</v>
      </c>
      <c r="E30" s="11">
        <f>+vacaciones[[#This Row],[Dias de Vacaciones]]/12</f>
        <v>1.25</v>
      </c>
    </row>
    <row r="31" spans="1:5" x14ac:dyDescent="0.2">
      <c r="A31" t="str">
        <f>+vacaciones[[#This Row],[País]]&amp;vacaciones[[#This Row],[Años laborados]]</f>
        <v>Colombia30</v>
      </c>
      <c r="B31" t="s">
        <v>34</v>
      </c>
      <c r="C31">
        <f t="shared" si="1"/>
        <v>30</v>
      </c>
      <c r="D31">
        <v>15</v>
      </c>
      <c r="E31" s="11">
        <f>+vacaciones[[#This Row],[Dias de Vacaciones]]/12</f>
        <v>1.25</v>
      </c>
    </row>
    <row r="32" spans="1:5" x14ac:dyDescent="0.2">
      <c r="A32" t="str">
        <f>+vacaciones[[#This Row],[País]]&amp;vacaciones[[#This Row],[Años laborados]]</f>
        <v>Colombia31</v>
      </c>
      <c r="B32" t="s">
        <v>34</v>
      </c>
      <c r="C32">
        <f t="shared" si="1"/>
        <v>31</v>
      </c>
      <c r="D32">
        <v>15</v>
      </c>
      <c r="E32" s="11">
        <f>+vacaciones[[#This Row],[Dias de Vacaciones]]/12</f>
        <v>1.25</v>
      </c>
    </row>
    <row r="33" spans="1:5" x14ac:dyDescent="0.2">
      <c r="A33" t="str">
        <f>+vacaciones[[#This Row],[País]]&amp;vacaciones[[#This Row],[Años laborados]]</f>
        <v>Colombia32</v>
      </c>
      <c r="B33" t="s">
        <v>34</v>
      </c>
      <c r="C33">
        <f t="shared" si="1"/>
        <v>32</v>
      </c>
      <c r="D33">
        <v>15</v>
      </c>
      <c r="E33" s="11">
        <f>+vacaciones[[#This Row],[Dias de Vacaciones]]/12</f>
        <v>1.25</v>
      </c>
    </row>
    <row r="34" spans="1:5" x14ac:dyDescent="0.2">
      <c r="A34" t="str">
        <f>+vacaciones[[#This Row],[País]]&amp;vacaciones[[#This Row],[Años laborados]]</f>
        <v>Colombia33</v>
      </c>
      <c r="B34" t="s">
        <v>34</v>
      </c>
      <c r="C34">
        <f t="shared" si="1"/>
        <v>33</v>
      </c>
      <c r="D34">
        <v>15</v>
      </c>
      <c r="E34" s="11">
        <f>+vacaciones[[#This Row],[Dias de Vacaciones]]/12</f>
        <v>1.25</v>
      </c>
    </row>
    <row r="35" spans="1:5" x14ac:dyDescent="0.2">
      <c r="A35" t="str">
        <f>+vacaciones[[#This Row],[País]]&amp;vacaciones[[#This Row],[Años laborados]]</f>
        <v>Colombia34</v>
      </c>
      <c r="B35" t="s">
        <v>34</v>
      </c>
      <c r="C35">
        <f t="shared" si="1"/>
        <v>34</v>
      </c>
      <c r="D35">
        <v>15</v>
      </c>
      <c r="E35" s="11">
        <f>+vacaciones[[#This Row],[Dias de Vacaciones]]/12</f>
        <v>1.25</v>
      </c>
    </row>
    <row r="36" spans="1:5" x14ac:dyDescent="0.2">
      <c r="A36" t="str">
        <f>+vacaciones[[#This Row],[País]]&amp;vacaciones[[#This Row],[Años laborados]]</f>
        <v>Colombia35</v>
      </c>
      <c r="B36" t="s">
        <v>34</v>
      </c>
      <c r="C36">
        <f t="shared" si="1"/>
        <v>35</v>
      </c>
      <c r="D36">
        <v>15</v>
      </c>
      <c r="E36" s="11">
        <f>+vacaciones[[#This Row],[Dias de Vacaciones]]/12</f>
        <v>1.25</v>
      </c>
    </row>
    <row r="37" spans="1:5" x14ac:dyDescent="0.2">
      <c r="A37" t="str">
        <f>+vacaciones[[#This Row],[País]]&amp;vacaciones[[#This Row],[Años laborados]]</f>
        <v>Colombia36</v>
      </c>
      <c r="B37" t="s">
        <v>34</v>
      </c>
      <c r="C37">
        <f t="shared" si="1"/>
        <v>36</v>
      </c>
      <c r="D37">
        <v>15</v>
      </c>
      <c r="E37" s="11">
        <f>+vacaciones[[#This Row],[Dias de Vacaciones]]/12</f>
        <v>1.25</v>
      </c>
    </row>
    <row r="38" spans="1:5" x14ac:dyDescent="0.2">
      <c r="A38" t="str">
        <f>+vacaciones[[#This Row],[País]]&amp;vacaciones[[#This Row],[Años laborados]]</f>
        <v>Colombia37</v>
      </c>
      <c r="B38" t="s">
        <v>34</v>
      </c>
      <c r="C38">
        <f t="shared" si="1"/>
        <v>37</v>
      </c>
      <c r="D38">
        <v>15</v>
      </c>
      <c r="E38" s="11">
        <f>+vacaciones[[#This Row],[Dias de Vacaciones]]/12</f>
        <v>1.25</v>
      </c>
    </row>
    <row r="39" spans="1:5" x14ac:dyDescent="0.2">
      <c r="A39" t="str">
        <f>+vacaciones[[#This Row],[País]]&amp;vacaciones[[#This Row],[Años laborados]]</f>
        <v>Colombia38</v>
      </c>
      <c r="B39" t="s">
        <v>34</v>
      </c>
      <c r="C39">
        <f t="shared" si="1"/>
        <v>38</v>
      </c>
      <c r="D39">
        <v>15</v>
      </c>
      <c r="E39" s="11">
        <f>+vacaciones[[#This Row],[Dias de Vacaciones]]/12</f>
        <v>1.25</v>
      </c>
    </row>
    <row r="40" spans="1:5" x14ac:dyDescent="0.2">
      <c r="A40" t="str">
        <f>+vacaciones[[#This Row],[País]]&amp;vacaciones[[#This Row],[Años laborados]]</f>
        <v>Colombia39</v>
      </c>
      <c r="B40" t="s">
        <v>34</v>
      </c>
      <c r="C40">
        <f t="shared" si="1"/>
        <v>39</v>
      </c>
      <c r="D40">
        <v>15</v>
      </c>
      <c r="E40" s="11">
        <f>+vacaciones[[#This Row],[Dias de Vacaciones]]/12</f>
        <v>1.25</v>
      </c>
    </row>
    <row r="41" spans="1:5" x14ac:dyDescent="0.2">
      <c r="A41" t="str">
        <f>+vacaciones[[#This Row],[País]]&amp;vacaciones[[#This Row],[Años laborados]]</f>
        <v>Colombia40</v>
      </c>
      <c r="B41" t="s">
        <v>34</v>
      </c>
      <c r="C41">
        <f t="shared" si="1"/>
        <v>40</v>
      </c>
      <c r="D41">
        <v>15</v>
      </c>
      <c r="E41" s="11">
        <f>+vacaciones[[#This Row],[Dias de Vacaciones]]/12</f>
        <v>1.25</v>
      </c>
    </row>
    <row r="42" spans="1:5" x14ac:dyDescent="0.2">
      <c r="A42" t="str">
        <f>+vacaciones[[#This Row],[País]]&amp;vacaciones[[#This Row],[Años laborados]]</f>
        <v>Colombia41</v>
      </c>
      <c r="B42" t="s">
        <v>34</v>
      </c>
      <c r="C42">
        <f t="shared" si="1"/>
        <v>41</v>
      </c>
      <c r="D42">
        <v>15</v>
      </c>
      <c r="E42" s="11">
        <f>+vacaciones[[#This Row],[Dias de Vacaciones]]/12</f>
        <v>1.25</v>
      </c>
    </row>
    <row r="43" spans="1:5" x14ac:dyDescent="0.2">
      <c r="A43" t="str">
        <f>+vacaciones[[#This Row],[País]]&amp;vacaciones[[#This Row],[Años laborados]]</f>
        <v>Colombia42</v>
      </c>
      <c r="B43" t="s">
        <v>34</v>
      </c>
      <c r="C43">
        <f t="shared" si="1"/>
        <v>42</v>
      </c>
      <c r="D43">
        <v>15</v>
      </c>
      <c r="E43" s="11">
        <f>+vacaciones[[#This Row],[Dias de Vacaciones]]/12</f>
        <v>1.25</v>
      </c>
    </row>
    <row r="44" spans="1:5" x14ac:dyDescent="0.2">
      <c r="A44" t="str">
        <f>+vacaciones[[#This Row],[País]]&amp;vacaciones[[#This Row],[Años laborados]]</f>
        <v>Colombia43</v>
      </c>
      <c r="B44" t="s">
        <v>34</v>
      </c>
      <c r="C44">
        <f t="shared" si="1"/>
        <v>43</v>
      </c>
      <c r="D44">
        <v>15</v>
      </c>
      <c r="E44" s="11">
        <f>+vacaciones[[#This Row],[Dias de Vacaciones]]/12</f>
        <v>1.25</v>
      </c>
    </row>
    <row r="45" spans="1:5" x14ac:dyDescent="0.2">
      <c r="A45" t="str">
        <f>+vacaciones[[#This Row],[País]]&amp;vacaciones[[#This Row],[Años laborados]]</f>
        <v>Colombia44</v>
      </c>
      <c r="B45" t="s">
        <v>34</v>
      </c>
      <c r="C45">
        <f t="shared" si="1"/>
        <v>44</v>
      </c>
      <c r="D45">
        <v>15</v>
      </c>
      <c r="E45" s="11">
        <f>+vacaciones[[#This Row],[Dias de Vacaciones]]/12</f>
        <v>1.25</v>
      </c>
    </row>
    <row r="46" spans="1:5" x14ac:dyDescent="0.2">
      <c r="A46" t="str">
        <f>+vacaciones[[#This Row],[País]]&amp;vacaciones[[#This Row],[Años laborados]]</f>
        <v>Colombia45</v>
      </c>
      <c r="B46" t="s">
        <v>34</v>
      </c>
      <c r="C46">
        <f t="shared" si="1"/>
        <v>45</v>
      </c>
      <c r="D46">
        <v>15</v>
      </c>
      <c r="E46" s="11">
        <f>+vacaciones[[#This Row],[Dias de Vacaciones]]/12</f>
        <v>1.25</v>
      </c>
    </row>
    <row r="47" spans="1:5" x14ac:dyDescent="0.2">
      <c r="A47" t="str">
        <f>+vacaciones[[#This Row],[País]]&amp;vacaciones[[#This Row],[Años laborados]]</f>
        <v>Colombia46</v>
      </c>
      <c r="B47" t="s">
        <v>34</v>
      </c>
      <c r="C47">
        <f t="shared" si="1"/>
        <v>46</v>
      </c>
      <c r="D47">
        <v>15</v>
      </c>
      <c r="E47" s="11">
        <f>+vacaciones[[#This Row],[Dias de Vacaciones]]/12</f>
        <v>1.25</v>
      </c>
    </row>
    <row r="48" spans="1:5" x14ac:dyDescent="0.2">
      <c r="A48" t="str">
        <f>+vacaciones[[#This Row],[País]]&amp;vacaciones[[#This Row],[Años laborados]]</f>
        <v>Colombia47</v>
      </c>
      <c r="B48" t="s">
        <v>34</v>
      </c>
      <c r="C48">
        <f t="shared" si="1"/>
        <v>47</v>
      </c>
      <c r="D48">
        <v>15</v>
      </c>
      <c r="E48" s="11">
        <f>+vacaciones[[#This Row],[Dias de Vacaciones]]/12</f>
        <v>1.25</v>
      </c>
    </row>
    <row r="49" spans="1:5" x14ac:dyDescent="0.2">
      <c r="A49" t="str">
        <f>+vacaciones[[#This Row],[País]]&amp;vacaciones[[#This Row],[Años laborados]]</f>
        <v>Colombia48</v>
      </c>
      <c r="B49" t="s">
        <v>34</v>
      </c>
      <c r="C49">
        <f t="shared" si="1"/>
        <v>48</v>
      </c>
      <c r="D49">
        <v>15</v>
      </c>
      <c r="E49" s="11">
        <f>+vacaciones[[#This Row],[Dias de Vacaciones]]/12</f>
        <v>1.25</v>
      </c>
    </row>
    <row r="50" spans="1:5" x14ac:dyDescent="0.2">
      <c r="A50" t="str">
        <f>+vacaciones[[#This Row],[País]]&amp;vacaciones[[#This Row],[Años laborados]]</f>
        <v>Colombia49</v>
      </c>
      <c r="B50" t="s">
        <v>34</v>
      </c>
      <c r="C50">
        <f t="shared" si="1"/>
        <v>49</v>
      </c>
      <c r="D50">
        <v>15</v>
      </c>
      <c r="E50" s="11">
        <f>+vacaciones[[#This Row],[Dias de Vacaciones]]/12</f>
        <v>1.25</v>
      </c>
    </row>
    <row r="51" spans="1:5" x14ac:dyDescent="0.2">
      <c r="A51" t="str">
        <f>+vacaciones[[#This Row],[País]]&amp;vacaciones[[#This Row],[Años laborados]]</f>
        <v>Colombia50</v>
      </c>
      <c r="B51" t="s">
        <v>34</v>
      </c>
      <c r="C51">
        <f t="shared" si="1"/>
        <v>50</v>
      </c>
      <c r="D51">
        <v>15</v>
      </c>
      <c r="E51" s="11">
        <f>+vacaciones[[#This Row],[Dias de Vacaciones]]/12</f>
        <v>1.25</v>
      </c>
    </row>
    <row r="52" spans="1:5" x14ac:dyDescent="0.2">
      <c r="A52" t="str">
        <f>+vacaciones[[#This Row],[País]]&amp;vacaciones[[#This Row],[Años laborados]]</f>
        <v>Colombia51</v>
      </c>
      <c r="B52" t="s">
        <v>34</v>
      </c>
      <c r="C52">
        <f t="shared" si="1"/>
        <v>51</v>
      </c>
      <c r="D52">
        <v>15</v>
      </c>
      <c r="E52" s="11">
        <f>+vacaciones[[#This Row],[Dias de Vacaciones]]/12</f>
        <v>1.25</v>
      </c>
    </row>
    <row r="53" spans="1:5" x14ac:dyDescent="0.2">
      <c r="A53" t="str">
        <f>+vacaciones[[#This Row],[País]]&amp;vacaciones[[#This Row],[Años laborados]]</f>
        <v>Colombia52</v>
      </c>
      <c r="B53" t="s">
        <v>34</v>
      </c>
      <c r="C53">
        <f t="shared" si="1"/>
        <v>52</v>
      </c>
      <c r="D53">
        <v>15</v>
      </c>
      <c r="E53" s="11">
        <f>+vacaciones[[#This Row],[Dias de Vacaciones]]/12</f>
        <v>1.25</v>
      </c>
    </row>
    <row r="54" spans="1:5" x14ac:dyDescent="0.2">
      <c r="A54" t="str">
        <f>+vacaciones[[#This Row],[País]]&amp;vacaciones[[#This Row],[Años laborados]]</f>
        <v>Colombia53</v>
      </c>
      <c r="B54" t="s">
        <v>34</v>
      </c>
      <c r="C54">
        <f t="shared" si="1"/>
        <v>53</v>
      </c>
      <c r="D54">
        <v>15</v>
      </c>
      <c r="E54" s="11">
        <f>+vacaciones[[#This Row],[Dias de Vacaciones]]/12</f>
        <v>1.25</v>
      </c>
    </row>
    <row r="55" spans="1:5" x14ac:dyDescent="0.2">
      <c r="A55" t="str">
        <f>+vacaciones[[#This Row],[País]]&amp;vacaciones[[#This Row],[Años laborados]]</f>
        <v>Colombia54</v>
      </c>
      <c r="B55" t="s">
        <v>34</v>
      </c>
      <c r="C55">
        <f t="shared" si="1"/>
        <v>54</v>
      </c>
      <c r="D55">
        <v>15</v>
      </c>
      <c r="E55" s="11">
        <f>+vacaciones[[#This Row],[Dias de Vacaciones]]/12</f>
        <v>1.25</v>
      </c>
    </row>
    <row r="56" spans="1:5" x14ac:dyDescent="0.2">
      <c r="A56" t="str">
        <f>+vacaciones[[#This Row],[País]]&amp;vacaciones[[#This Row],[Años laborados]]</f>
        <v>Colombia55</v>
      </c>
      <c r="B56" t="s">
        <v>34</v>
      </c>
      <c r="C56">
        <f t="shared" ref="C56:C66" si="2">+C55+1</f>
        <v>55</v>
      </c>
      <c r="D56">
        <v>15</v>
      </c>
      <c r="E56" s="11">
        <f>+vacaciones[[#This Row],[Dias de Vacaciones]]/12</f>
        <v>1.25</v>
      </c>
    </row>
    <row r="57" spans="1:5" x14ac:dyDescent="0.2">
      <c r="A57" t="str">
        <f>+vacaciones[[#This Row],[País]]&amp;vacaciones[[#This Row],[Años laborados]]</f>
        <v>Colombia56</v>
      </c>
      <c r="B57" t="s">
        <v>34</v>
      </c>
      <c r="C57">
        <f t="shared" si="2"/>
        <v>56</v>
      </c>
      <c r="D57">
        <v>15</v>
      </c>
      <c r="E57" s="11">
        <f>+vacaciones[[#This Row],[Dias de Vacaciones]]/12</f>
        <v>1.25</v>
      </c>
    </row>
    <row r="58" spans="1:5" x14ac:dyDescent="0.2">
      <c r="A58" t="str">
        <f>+vacaciones[[#This Row],[País]]&amp;vacaciones[[#This Row],[Años laborados]]</f>
        <v>Colombia57</v>
      </c>
      <c r="B58" t="s">
        <v>34</v>
      </c>
      <c r="C58">
        <f t="shared" si="2"/>
        <v>57</v>
      </c>
      <c r="D58">
        <v>15</v>
      </c>
      <c r="E58" s="11">
        <f>+vacaciones[[#This Row],[Dias de Vacaciones]]/12</f>
        <v>1.25</v>
      </c>
    </row>
    <row r="59" spans="1:5" x14ac:dyDescent="0.2">
      <c r="A59" t="str">
        <f>+vacaciones[[#This Row],[País]]&amp;vacaciones[[#This Row],[Años laborados]]</f>
        <v>Colombia58</v>
      </c>
      <c r="B59" t="s">
        <v>34</v>
      </c>
      <c r="C59">
        <f t="shared" si="2"/>
        <v>58</v>
      </c>
      <c r="D59">
        <v>15</v>
      </c>
      <c r="E59" s="11">
        <f>+vacaciones[[#This Row],[Dias de Vacaciones]]/12</f>
        <v>1.25</v>
      </c>
    </row>
    <row r="60" spans="1:5" x14ac:dyDescent="0.2">
      <c r="A60" t="str">
        <f>+vacaciones[[#This Row],[País]]&amp;vacaciones[[#This Row],[Años laborados]]</f>
        <v>Colombia59</v>
      </c>
      <c r="B60" t="s">
        <v>34</v>
      </c>
      <c r="C60">
        <f t="shared" si="2"/>
        <v>59</v>
      </c>
      <c r="D60">
        <v>15</v>
      </c>
      <c r="E60" s="11">
        <f>+vacaciones[[#This Row],[Dias de Vacaciones]]/12</f>
        <v>1.25</v>
      </c>
    </row>
    <row r="61" spans="1:5" x14ac:dyDescent="0.2">
      <c r="A61" t="str">
        <f>+vacaciones[[#This Row],[País]]&amp;vacaciones[[#This Row],[Años laborados]]</f>
        <v>Colombia60</v>
      </c>
      <c r="B61" t="s">
        <v>34</v>
      </c>
      <c r="C61">
        <f t="shared" si="2"/>
        <v>60</v>
      </c>
      <c r="D61">
        <v>15</v>
      </c>
      <c r="E61" s="11">
        <f>+vacaciones[[#This Row],[Dias de Vacaciones]]/12</f>
        <v>1.25</v>
      </c>
    </row>
    <row r="62" spans="1:5" x14ac:dyDescent="0.2">
      <c r="A62" t="str">
        <f>+vacaciones[[#This Row],[País]]&amp;vacaciones[[#This Row],[Años laborados]]</f>
        <v>Colombia61</v>
      </c>
      <c r="B62" t="s">
        <v>34</v>
      </c>
      <c r="C62">
        <f t="shared" si="2"/>
        <v>61</v>
      </c>
      <c r="D62">
        <v>15</v>
      </c>
      <c r="E62" s="11">
        <f>+vacaciones[[#This Row],[Dias de Vacaciones]]/12</f>
        <v>1.25</v>
      </c>
    </row>
    <row r="63" spans="1:5" x14ac:dyDescent="0.2">
      <c r="A63" t="str">
        <f>+vacaciones[[#This Row],[País]]&amp;vacaciones[[#This Row],[Años laborados]]</f>
        <v>Colombia62</v>
      </c>
      <c r="B63" t="s">
        <v>34</v>
      </c>
      <c r="C63">
        <f t="shared" si="2"/>
        <v>62</v>
      </c>
      <c r="D63">
        <v>15</v>
      </c>
      <c r="E63" s="11">
        <f>+vacaciones[[#This Row],[Dias de Vacaciones]]/12</f>
        <v>1.25</v>
      </c>
    </row>
    <row r="64" spans="1:5" x14ac:dyDescent="0.2">
      <c r="A64" t="str">
        <f>+vacaciones[[#This Row],[País]]&amp;vacaciones[[#This Row],[Años laborados]]</f>
        <v>Colombia63</v>
      </c>
      <c r="B64" t="s">
        <v>34</v>
      </c>
      <c r="C64">
        <f t="shared" si="2"/>
        <v>63</v>
      </c>
      <c r="D64">
        <v>15</v>
      </c>
      <c r="E64" s="11">
        <f>+vacaciones[[#This Row],[Dias de Vacaciones]]/12</f>
        <v>1.25</v>
      </c>
    </row>
    <row r="65" spans="1:5" x14ac:dyDescent="0.2">
      <c r="A65" t="str">
        <f>+vacaciones[[#This Row],[País]]&amp;vacaciones[[#This Row],[Años laborados]]</f>
        <v>Colombia64</v>
      </c>
      <c r="B65" t="s">
        <v>34</v>
      </c>
      <c r="C65">
        <f t="shared" si="2"/>
        <v>64</v>
      </c>
      <c r="D65">
        <v>15</v>
      </c>
      <c r="E65" s="11">
        <f>+vacaciones[[#This Row],[Dias de Vacaciones]]/12</f>
        <v>1.25</v>
      </c>
    </row>
    <row r="66" spans="1:5" x14ac:dyDescent="0.2">
      <c r="A66" t="str">
        <f>+vacaciones[[#This Row],[País]]&amp;vacaciones[[#This Row],[Años laborados]]</f>
        <v>Colombia65</v>
      </c>
      <c r="B66" t="s">
        <v>34</v>
      </c>
      <c r="C66">
        <f t="shared" si="2"/>
        <v>65</v>
      </c>
      <c r="D66">
        <v>15</v>
      </c>
      <c r="E66" s="11">
        <f>+vacaciones[[#This Row],[Dias de Vacaciones]]/12</f>
        <v>1.25</v>
      </c>
    </row>
    <row r="67" spans="1:5" x14ac:dyDescent="0.2">
      <c r="A67" t="str">
        <f>+vacaciones[[#This Row],[País]]&amp;vacaciones[[#This Row],[Años laborados]]</f>
        <v>España1</v>
      </c>
      <c r="B67" t="s">
        <v>35</v>
      </c>
      <c r="C67">
        <v>1</v>
      </c>
      <c r="D67">
        <v>30</v>
      </c>
      <c r="E67" s="11">
        <f>+vacaciones[[#This Row],[Dias de Vacaciones]]/12</f>
        <v>2.5</v>
      </c>
    </row>
    <row r="68" spans="1:5" x14ac:dyDescent="0.2">
      <c r="A68" t="str">
        <f>+vacaciones[[#This Row],[País]]&amp;vacaciones[[#This Row],[Años laborados]]</f>
        <v>España2</v>
      </c>
      <c r="B68" t="s">
        <v>35</v>
      </c>
      <c r="C68">
        <f>+C67+1</f>
        <v>2</v>
      </c>
      <c r="D68">
        <v>30</v>
      </c>
      <c r="E68" s="11">
        <f>+vacaciones[[#This Row],[Dias de Vacaciones]]/12</f>
        <v>2.5</v>
      </c>
    </row>
    <row r="69" spans="1:5" x14ac:dyDescent="0.2">
      <c r="A69" t="str">
        <f>+vacaciones[[#This Row],[País]]&amp;vacaciones[[#This Row],[Años laborados]]</f>
        <v>España3</v>
      </c>
      <c r="B69" t="s">
        <v>35</v>
      </c>
      <c r="C69">
        <f t="shared" ref="C69:C131" si="3">+C68+1</f>
        <v>3</v>
      </c>
      <c r="D69">
        <v>30</v>
      </c>
      <c r="E69" s="11">
        <f>+vacaciones[[#This Row],[Dias de Vacaciones]]/12</f>
        <v>2.5</v>
      </c>
    </row>
    <row r="70" spans="1:5" x14ac:dyDescent="0.2">
      <c r="A70" t="str">
        <f>+vacaciones[[#This Row],[País]]&amp;vacaciones[[#This Row],[Años laborados]]</f>
        <v>España4</v>
      </c>
      <c r="B70" t="s">
        <v>35</v>
      </c>
      <c r="C70">
        <f t="shared" si="3"/>
        <v>4</v>
      </c>
      <c r="D70">
        <v>30</v>
      </c>
      <c r="E70" s="11">
        <f>+vacaciones[[#This Row],[Dias de Vacaciones]]/12</f>
        <v>2.5</v>
      </c>
    </row>
    <row r="71" spans="1:5" x14ac:dyDescent="0.2">
      <c r="A71" t="str">
        <f>+vacaciones[[#This Row],[País]]&amp;vacaciones[[#This Row],[Años laborados]]</f>
        <v>España5</v>
      </c>
      <c r="B71" t="s">
        <v>35</v>
      </c>
      <c r="C71">
        <f t="shared" si="3"/>
        <v>5</v>
      </c>
      <c r="D71">
        <v>30</v>
      </c>
      <c r="E71" s="11">
        <f>+vacaciones[[#This Row],[Dias de Vacaciones]]/12</f>
        <v>2.5</v>
      </c>
    </row>
    <row r="72" spans="1:5" x14ac:dyDescent="0.2">
      <c r="A72" t="str">
        <f>+vacaciones[[#This Row],[País]]&amp;vacaciones[[#This Row],[Años laborados]]</f>
        <v>España6</v>
      </c>
      <c r="B72" t="s">
        <v>35</v>
      </c>
      <c r="C72">
        <f t="shared" si="3"/>
        <v>6</v>
      </c>
      <c r="D72">
        <v>30</v>
      </c>
      <c r="E72" s="11">
        <f>+vacaciones[[#This Row],[Dias de Vacaciones]]/12</f>
        <v>2.5</v>
      </c>
    </row>
    <row r="73" spans="1:5" x14ac:dyDescent="0.2">
      <c r="A73" t="str">
        <f>+vacaciones[[#This Row],[País]]&amp;vacaciones[[#This Row],[Años laborados]]</f>
        <v>España7</v>
      </c>
      <c r="B73" t="s">
        <v>35</v>
      </c>
      <c r="C73">
        <f t="shared" si="3"/>
        <v>7</v>
      </c>
      <c r="D73">
        <v>30</v>
      </c>
      <c r="E73" s="11">
        <f>+vacaciones[[#This Row],[Dias de Vacaciones]]/12</f>
        <v>2.5</v>
      </c>
    </row>
    <row r="74" spans="1:5" x14ac:dyDescent="0.2">
      <c r="A74" t="str">
        <f>+vacaciones[[#This Row],[País]]&amp;vacaciones[[#This Row],[Años laborados]]</f>
        <v>España8</v>
      </c>
      <c r="B74" t="s">
        <v>35</v>
      </c>
      <c r="C74">
        <f t="shared" si="3"/>
        <v>8</v>
      </c>
      <c r="D74">
        <v>30</v>
      </c>
      <c r="E74" s="11">
        <f>+vacaciones[[#This Row],[Dias de Vacaciones]]/12</f>
        <v>2.5</v>
      </c>
    </row>
    <row r="75" spans="1:5" x14ac:dyDescent="0.2">
      <c r="A75" t="str">
        <f>+vacaciones[[#This Row],[País]]&amp;vacaciones[[#This Row],[Años laborados]]</f>
        <v>España9</v>
      </c>
      <c r="B75" t="s">
        <v>35</v>
      </c>
      <c r="C75">
        <f t="shared" si="3"/>
        <v>9</v>
      </c>
      <c r="D75">
        <v>30</v>
      </c>
      <c r="E75" s="11">
        <f>+vacaciones[[#This Row],[Dias de Vacaciones]]/12</f>
        <v>2.5</v>
      </c>
    </row>
    <row r="76" spans="1:5" x14ac:dyDescent="0.2">
      <c r="A76" t="str">
        <f>+vacaciones[[#This Row],[País]]&amp;vacaciones[[#This Row],[Años laborados]]</f>
        <v>España10</v>
      </c>
      <c r="B76" t="s">
        <v>35</v>
      </c>
      <c r="C76">
        <f t="shared" si="3"/>
        <v>10</v>
      </c>
      <c r="D76">
        <v>30</v>
      </c>
      <c r="E76" s="11">
        <f>+vacaciones[[#This Row],[Dias de Vacaciones]]/12</f>
        <v>2.5</v>
      </c>
    </row>
    <row r="77" spans="1:5" x14ac:dyDescent="0.2">
      <c r="A77" t="str">
        <f>+vacaciones[[#This Row],[País]]&amp;vacaciones[[#This Row],[Años laborados]]</f>
        <v>España11</v>
      </c>
      <c r="B77" t="s">
        <v>35</v>
      </c>
      <c r="C77">
        <f t="shared" si="3"/>
        <v>11</v>
      </c>
      <c r="D77">
        <v>30</v>
      </c>
      <c r="E77" s="11">
        <f>+vacaciones[[#This Row],[Dias de Vacaciones]]/12</f>
        <v>2.5</v>
      </c>
    </row>
    <row r="78" spans="1:5" x14ac:dyDescent="0.2">
      <c r="A78" t="str">
        <f>+vacaciones[[#This Row],[País]]&amp;vacaciones[[#This Row],[Años laborados]]</f>
        <v>España12</v>
      </c>
      <c r="B78" t="s">
        <v>35</v>
      </c>
      <c r="C78">
        <f t="shared" si="3"/>
        <v>12</v>
      </c>
      <c r="D78">
        <v>30</v>
      </c>
      <c r="E78" s="11">
        <f>+vacaciones[[#This Row],[Dias de Vacaciones]]/12</f>
        <v>2.5</v>
      </c>
    </row>
    <row r="79" spans="1:5" x14ac:dyDescent="0.2">
      <c r="A79" t="str">
        <f>+vacaciones[[#This Row],[País]]&amp;vacaciones[[#This Row],[Años laborados]]</f>
        <v>España13</v>
      </c>
      <c r="B79" t="s">
        <v>35</v>
      </c>
      <c r="C79">
        <f t="shared" si="3"/>
        <v>13</v>
      </c>
      <c r="D79">
        <v>30</v>
      </c>
      <c r="E79" s="11">
        <f>+vacaciones[[#This Row],[Dias de Vacaciones]]/12</f>
        <v>2.5</v>
      </c>
    </row>
    <row r="80" spans="1:5" x14ac:dyDescent="0.2">
      <c r="A80" t="str">
        <f>+vacaciones[[#This Row],[País]]&amp;vacaciones[[#This Row],[Años laborados]]</f>
        <v>España14</v>
      </c>
      <c r="B80" t="s">
        <v>35</v>
      </c>
      <c r="C80">
        <f t="shared" si="3"/>
        <v>14</v>
      </c>
      <c r="D80">
        <v>30</v>
      </c>
      <c r="E80" s="11">
        <f>+vacaciones[[#This Row],[Dias de Vacaciones]]/12</f>
        <v>2.5</v>
      </c>
    </row>
    <row r="81" spans="1:5" x14ac:dyDescent="0.2">
      <c r="A81" t="str">
        <f>+vacaciones[[#This Row],[País]]&amp;vacaciones[[#This Row],[Años laborados]]</f>
        <v>España15</v>
      </c>
      <c r="B81" t="s">
        <v>35</v>
      </c>
      <c r="C81">
        <f t="shared" si="3"/>
        <v>15</v>
      </c>
      <c r="D81">
        <v>30</v>
      </c>
      <c r="E81" s="11">
        <f>+vacaciones[[#This Row],[Dias de Vacaciones]]/12</f>
        <v>2.5</v>
      </c>
    </row>
    <row r="82" spans="1:5" x14ac:dyDescent="0.2">
      <c r="A82" t="str">
        <f>+vacaciones[[#This Row],[País]]&amp;vacaciones[[#This Row],[Años laborados]]</f>
        <v>España16</v>
      </c>
      <c r="B82" t="s">
        <v>35</v>
      </c>
      <c r="C82">
        <f t="shared" si="3"/>
        <v>16</v>
      </c>
      <c r="D82">
        <v>30</v>
      </c>
      <c r="E82" s="11">
        <f>+vacaciones[[#This Row],[Dias de Vacaciones]]/12</f>
        <v>2.5</v>
      </c>
    </row>
    <row r="83" spans="1:5" x14ac:dyDescent="0.2">
      <c r="A83" t="str">
        <f>+vacaciones[[#This Row],[País]]&amp;vacaciones[[#This Row],[Años laborados]]</f>
        <v>España17</v>
      </c>
      <c r="B83" t="s">
        <v>35</v>
      </c>
      <c r="C83">
        <f t="shared" si="3"/>
        <v>17</v>
      </c>
      <c r="D83">
        <v>30</v>
      </c>
      <c r="E83" s="11">
        <f>+vacaciones[[#This Row],[Dias de Vacaciones]]/12</f>
        <v>2.5</v>
      </c>
    </row>
    <row r="84" spans="1:5" x14ac:dyDescent="0.2">
      <c r="A84" t="str">
        <f>+vacaciones[[#This Row],[País]]&amp;vacaciones[[#This Row],[Años laborados]]</f>
        <v>España18</v>
      </c>
      <c r="B84" t="s">
        <v>35</v>
      </c>
      <c r="C84">
        <f t="shared" si="3"/>
        <v>18</v>
      </c>
      <c r="D84">
        <v>30</v>
      </c>
      <c r="E84" s="11">
        <f>+vacaciones[[#This Row],[Dias de Vacaciones]]/12</f>
        <v>2.5</v>
      </c>
    </row>
    <row r="85" spans="1:5" x14ac:dyDescent="0.2">
      <c r="A85" t="str">
        <f>+vacaciones[[#This Row],[País]]&amp;vacaciones[[#This Row],[Años laborados]]</f>
        <v>España19</v>
      </c>
      <c r="B85" t="s">
        <v>35</v>
      </c>
      <c r="C85">
        <f t="shared" si="3"/>
        <v>19</v>
      </c>
      <c r="D85">
        <v>30</v>
      </c>
      <c r="E85" s="11">
        <f>+vacaciones[[#This Row],[Dias de Vacaciones]]/12</f>
        <v>2.5</v>
      </c>
    </row>
    <row r="86" spans="1:5" x14ac:dyDescent="0.2">
      <c r="A86" t="str">
        <f>+vacaciones[[#This Row],[País]]&amp;vacaciones[[#This Row],[Años laborados]]</f>
        <v>España20</v>
      </c>
      <c r="B86" t="s">
        <v>35</v>
      </c>
      <c r="C86">
        <f t="shared" si="3"/>
        <v>20</v>
      </c>
      <c r="D86">
        <v>30</v>
      </c>
      <c r="E86" s="11">
        <f>+vacaciones[[#This Row],[Dias de Vacaciones]]/12</f>
        <v>2.5</v>
      </c>
    </row>
    <row r="87" spans="1:5" x14ac:dyDescent="0.2">
      <c r="A87" t="str">
        <f>+vacaciones[[#This Row],[País]]&amp;vacaciones[[#This Row],[Años laborados]]</f>
        <v>España21</v>
      </c>
      <c r="B87" t="s">
        <v>35</v>
      </c>
      <c r="C87">
        <f t="shared" si="3"/>
        <v>21</v>
      </c>
      <c r="D87">
        <v>30</v>
      </c>
      <c r="E87" s="11">
        <f>+vacaciones[[#This Row],[Dias de Vacaciones]]/12</f>
        <v>2.5</v>
      </c>
    </row>
    <row r="88" spans="1:5" x14ac:dyDescent="0.2">
      <c r="A88" t="str">
        <f>+vacaciones[[#This Row],[País]]&amp;vacaciones[[#This Row],[Años laborados]]</f>
        <v>España22</v>
      </c>
      <c r="B88" t="s">
        <v>35</v>
      </c>
      <c r="C88">
        <f t="shared" si="3"/>
        <v>22</v>
      </c>
      <c r="D88">
        <v>30</v>
      </c>
      <c r="E88" s="11">
        <f>+vacaciones[[#This Row],[Dias de Vacaciones]]/12</f>
        <v>2.5</v>
      </c>
    </row>
    <row r="89" spans="1:5" x14ac:dyDescent="0.2">
      <c r="A89" t="str">
        <f>+vacaciones[[#This Row],[País]]&amp;vacaciones[[#This Row],[Años laborados]]</f>
        <v>España23</v>
      </c>
      <c r="B89" t="s">
        <v>35</v>
      </c>
      <c r="C89">
        <f t="shared" si="3"/>
        <v>23</v>
      </c>
      <c r="D89">
        <v>30</v>
      </c>
      <c r="E89" s="11">
        <f>+vacaciones[[#This Row],[Dias de Vacaciones]]/12</f>
        <v>2.5</v>
      </c>
    </row>
    <row r="90" spans="1:5" x14ac:dyDescent="0.2">
      <c r="A90" t="str">
        <f>+vacaciones[[#This Row],[País]]&amp;vacaciones[[#This Row],[Años laborados]]</f>
        <v>España24</v>
      </c>
      <c r="B90" t="s">
        <v>35</v>
      </c>
      <c r="C90">
        <f t="shared" si="3"/>
        <v>24</v>
      </c>
      <c r="D90">
        <v>30</v>
      </c>
      <c r="E90" s="11">
        <f>+vacaciones[[#This Row],[Dias de Vacaciones]]/12</f>
        <v>2.5</v>
      </c>
    </row>
    <row r="91" spans="1:5" x14ac:dyDescent="0.2">
      <c r="A91" t="str">
        <f>+vacaciones[[#This Row],[País]]&amp;vacaciones[[#This Row],[Años laborados]]</f>
        <v>España25</v>
      </c>
      <c r="B91" t="s">
        <v>35</v>
      </c>
      <c r="C91">
        <f t="shared" si="3"/>
        <v>25</v>
      </c>
      <c r="D91">
        <v>30</v>
      </c>
      <c r="E91" s="11">
        <f>+vacaciones[[#This Row],[Dias de Vacaciones]]/12</f>
        <v>2.5</v>
      </c>
    </row>
    <row r="92" spans="1:5" x14ac:dyDescent="0.2">
      <c r="A92" t="str">
        <f>+vacaciones[[#This Row],[País]]&amp;vacaciones[[#This Row],[Años laborados]]</f>
        <v>España26</v>
      </c>
      <c r="B92" t="s">
        <v>35</v>
      </c>
      <c r="C92">
        <f t="shared" si="3"/>
        <v>26</v>
      </c>
      <c r="D92">
        <v>30</v>
      </c>
      <c r="E92" s="11">
        <f>+vacaciones[[#This Row],[Dias de Vacaciones]]/12</f>
        <v>2.5</v>
      </c>
    </row>
    <row r="93" spans="1:5" x14ac:dyDescent="0.2">
      <c r="A93" t="str">
        <f>+vacaciones[[#This Row],[País]]&amp;vacaciones[[#This Row],[Años laborados]]</f>
        <v>España27</v>
      </c>
      <c r="B93" t="s">
        <v>35</v>
      </c>
      <c r="C93">
        <f t="shared" si="3"/>
        <v>27</v>
      </c>
      <c r="D93">
        <v>30</v>
      </c>
      <c r="E93" s="11">
        <f>+vacaciones[[#This Row],[Dias de Vacaciones]]/12</f>
        <v>2.5</v>
      </c>
    </row>
    <row r="94" spans="1:5" x14ac:dyDescent="0.2">
      <c r="A94" t="str">
        <f>+vacaciones[[#This Row],[País]]&amp;vacaciones[[#This Row],[Años laborados]]</f>
        <v>España28</v>
      </c>
      <c r="B94" t="s">
        <v>35</v>
      </c>
      <c r="C94">
        <f t="shared" si="3"/>
        <v>28</v>
      </c>
      <c r="D94">
        <v>30</v>
      </c>
      <c r="E94" s="11">
        <f>+vacaciones[[#This Row],[Dias de Vacaciones]]/12</f>
        <v>2.5</v>
      </c>
    </row>
    <row r="95" spans="1:5" x14ac:dyDescent="0.2">
      <c r="A95" t="str">
        <f>+vacaciones[[#This Row],[País]]&amp;vacaciones[[#This Row],[Años laborados]]</f>
        <v>España29</v>
      </c>
      <c r="B95" t="s">
        <v>35</v>
      </c>
      <c r="C95">
        <f t="shared" si="3"/>
        <v>29</v>
      </c>
      <c r="D95">
        <v>30</v>
      </c>
      <c r="E95" s="11">
        <f>+vacaciones[[#This Row],[Dias de Vacaciones]]/12</f>
        <v>2.5</v>
      </c>
    </row>
    <row r="96" spans="1:5" x14ac:dyDescent="0.2">
      <c r="A96" t="str">
        <f>+vacaciones[[#This Row],[País]]&amp;vacaciones[[#This Row],[Años laborados]]</f>
        <v>España30</v>
      </c>
      <c r="B96" t="s">
        <v>35</v>
      </c>
      <c r="C96">
        <f t="shared" si="3"/>
        <v>30</v>
      </c>
      <c r="D96">
        <v>30</v>
      </c>
      <c r="E96" s="11">
        <f>+vacaciones[[#This Row],[Dias de Vacaciones]]/12</f>
        <v>2.5</v>
      </c>
    </row>
    <row r="97" spans="1:5" x14ac:dyDescent="0.2">
      <c r="A97" t="str">
        <f>+vacaciones[[#This Row],[País]]&amp;vacaciones[[#This Row],[Años laborados]]</f>
        <v>España31</v>
      </c>
      <c r="B97" t="s">
        <v>35</v>
      </c>
      <c r="C97">
        <f t="shared" si="3"/>
        <v>31</v>
      </c>
      <c r="D97">
        <v>30</v>
      </c>
      <c r="E97" s="11">
        <f>+vacaciones[[#This Row],[Dias de Vacaciones]]/12</f>
        <v>2.5</v>
      </c>
    </row>
    <row r="98" spans="1:5" x14ac:dyDescent="0.2">
      <c r="A98" t="str">
        <f>+vacaciones[[#This Row],[País]]&amp;vacaciones[[#This Row],[Años laborados]]</f>
        <v>España32</v>
      </c>
      <c r="B98" t="s">
        <v>35</v>
      </c>
      <c r="C98">
        <f t="shared" si="3"/>
        <v>32</v>
      </c>
      <c r="D98">
        <v>30</v>
      </c>
      <c r="E98" s="11">
        <f>+vacaciones[[#This Row],[Dias de Vacaciones]]/12</f>
        <v>2.5</v>
      </c>
    </row>
    <row r="99" spans="1:5" x14ac:dyDescent="0.2">
      <c r="A99" t="str">
        <f>+vacaciones[[#This Row],[País]]&amp;vacaciones[[#This Row],[Años laborados]]</f>
        <v>España33</v>
      </c>
      <c r="B99" t="s">
        <v>35</v>
      </c>
      <c r="C99">
        <f t="shared" si="3"/>
        <v>33</v>
      </c>
      <c r="D99">
        <v>30</v>
      </c>
      <c r="E99" s="11">
        <f>+vacaciones[[#This Row],[Dias de Vacaciones]]/12</f>
        <v>2.5</v>
      </c>
    </row>
    <row r="100" spans="1:5" x14ac:dyDescent="0.2">
      <c r="A100" t="str">
        <f>+vacaciones[[#This Row],[País]]&amp;vacaciones[[#This Row],[Años laborados]]</f>
        <v>España34</v>
      </c>
      <c r="B100" t="s">
        <v>35</v>
      </c>
      <c r="C100">
        <f t="shared" si="3"/>
        <v>34</v>
      </c>
      <c r="D100">
        <v>30</v>
      </c>
      <c r="E100" s="11">
        <f>+vacaciones[[#This Row],[Dias de Vacaciones]]/12</f>
        <v>2.5</v>
      </c>
    </row>
    <row r="101" spans="1:5" x14ac:dyDescent="0.2">
      <c r="A101" t="str">
        <f>+vacaciones[[#This Row],[País]]&amp;vacaciones[[#This Row],[Años laborados]]</f>
        <v>España35</v>
      </c>
      <c r="B101" t="s">
        <v>35</v>
      </c>
      <c r="C101">
        <f t="shared" si="3"/>
        <v>35</v>
      </c>
      <c r="D101">
        <v>30</v>
      </c>
      <c r="E101" s="11">
        <f>+vacaciones[[#This Row],[Dias de Vacaciones]]/12</f>
        <v>2.5</v>
      </c>
    </row>
    <row r="102" spans="1:5" x14ac:dyDescent="0.2">
      <c r="A102" t="str">
        <f>+vacaciones[[#This Row],[País]]&amp;vacaciones[[#This Row],[Años laborados]]</f>
        <v>España36</v>
      </c>
      <c r="B102" t="s">
        <v>35</v>
      </c>
      <c r="C102">
        <f t="shared" si="3"/>
        <v>36</v>
      </c>
      <c r="D102">
        <v>30</v>
      </c>
      <c r="E102" s="11">
        <f>+vacaciones[[#This Row],[Dias de Vacaciones]]/12</f>
        <v>2.5</v>
      </c>
    </row>
    <row r="103" spans="1:5" x14ac:dyDescent="0.2">
      <c r="A103" t="str">
        <f>+vacaciones[[#This Row],[País]]&amp;vacaciones[[#This Row],[Años laborados]]</f>
        <v>España37</v>
      </c>
      <c r="B103" t="s">
        <v>35</v>
      </c>
      <c r="C103">
        <f t="shared" si="3"/>
        <v>37</v>
      </c>
      <c r="D103">
        <v>30</v>
      </c>
      <c r="E103" s="11">
        <f>+vacaciones[[#This Row],[Dias de Vacaciones]]/12</f>
        <v>2.5</v>
      </c>
    </row>
    <row r="104" spans="1:5" x14ac:dyDescent="0.2">
      <c r="A104" t="str">
        <f>+vacaciones[[#This Row],[País]]&amp;vacaciones[[#This Row],[Años laborados]]</f>
        <v>España38</v>
      </c>
      <c r="B104" t="s">
        <v>35</v>
      </c>
      <c r="C104">
        <f t="shared" si="3"/>
        <v>38</v>
      </c>
      <c r="D104">
        <v>30</v>
      </c>
      <c r="E104" s="11">
        <f>+vacaciones[[#This Row],[Dias de Vacaciones]]/12</f>
        <v>2.5</v>
      </c>
    </row>
    <row r="105" spans="1:5" x14ac:dyDescent="0.2">
      <c r="A105" t="str">
        <f>+vacaciones[[#This Row],[País]]&amp;vacaciones[[#This Row],[Años laborados]]</f>
        <v>España39</v>
      </c>
      <c r="B105" t="s">
        <v>35</v>
      </c>
      <c r="C105">
        <f t="shared" si="3"/>
        <v>39</v>
      </c>
      <c r="D105">
        <v>30</v>
      </c>
      <c r="E105" s="11">
        <f>+vacaciones[[#This Row],[Dias de Vacaciones]]/12</f>
        <v>2.5</v>
      </c>
    </row>
    <row r="106" spans="1:5" x14ac:dyDescent="0.2">
      <c r="A106" t="str">
        <f>+vacaciones[[#This Row],[País]]&amp;vacaciones[[#This Row],[Años laborados]]</f>
        <v>España40</v>
      </c>
      <c r="B106" t="s">
        <v>35</v>
      </c>
      <c r="C106">
        <f t="shared" si="3"/>
        <v>40</v>
      </c>
      <c r="D106">
        <v>30</v>
      </c>
      <c r="E106" s="11">
        <f>+vacaciones[[#This Row],[Dias de Vacaciones]]/12</f>
        <v>2.5</v>
      </c>
    </row>
    <row r="107" spans="1:5" x14ac:dyDescent="0.2">
      <c r="A107" t="str">
        <f>+vacaciones[[#This Row],[País]]&amp;vacaciones[[#This Row],[Años laborados]]</f>
        <v>España41</v>
      </c>
      <c r="B107" t="s">
        <v>35</v>
      </c>
      <c r="C107">
        <f t="shared" si="3"/>
        <v>41</v>
      </c>
      <c r="D107">
        <v>30</v>
      </c>
      <c r="E107" s="11">
        <f>+vacaciones[[#This Row],[Dias de Vacaciones]]/12</f>
        <v>2.5</v>
      </c>
    </row>
    <row r="108" spans="1:5" x14ac:dyDescent="0.2">
      <c r="A108" t="str">
        <f>+vacaciones[[#This Row],[País]]&amp;vacaciones[[#This Row],[Años laborados]]</f>
        <v>España42</v>
      </c>
      <c r="B108" t="s">
        <v>35</v>
      </c>
      <c r="C108">
        <f t="shared" si="3"/>
        <v>42</v>
      </c>
      <c r="D108">
        <v>30</v>
      </c>
      <c r="E108" s="11">
        <f>+vacaciones[[#This Row],[Dias de Vacaciones]]/12</f>
        <v>2.5</v>
      </c>
    </row>
    <row r="109" spans="1:5" x14ac:dyDescent="0.2">
      <c r="A109" t="str">
        <f>+vacaciones[[#This Row],[País]]&amp;vacaciones[[#This Row],[Años laborados]]</f>
        <v>España43</v>
      </c>
      <c r="B109" t="s">
        <v>35</v>
      </c>
      <c r="C109">
        <f t="shared" si="3"/>
        <v>43</v>
      </c>
      <c r="D109">
        <v>30</v>
      </c>
      <c r="E109" s="11">
        <f>+vacaciones[[#This Row],[Dias de Vacaciones]]/12</f>
        <v>2.5</v>
      </c>
    </row>
    <row r="110" spans="1:5" x14ac:dyDescent="0.2">
      <c r="A110" t="str">
        <f>+vacaciones[[#This Row],[País]]&amp;vacaciones[[#This Row],[Años laborados]]</f>
        <v>España44</v>
      </c>
      <c r="B110" t="s">
        <v>35</v>
      </c>
      <c r="C110">
        <f t="shared" si="3"/>
        <v>44</v>
      </c>
      <c r="D110">
        <v>30</v>
      </c>
      <c r="E110" s="11">
        <f>+vacaciones[[#This Row],[Dias de Vacaciones]]/12</f>
        <v>2.5</v>
      </c>
    </row>
    <row r="111" spans="1:5" x14ac:dyDescent="0.2">
      <c r="A111" t="str">
        <f>+vacaciones[[#This Row],[País]]&amp;vacaciones[[#This Row],[Años laborados]]</f>
        <v>España45</v>
      </c>
      <c r="B111" t="s">
        <v>35</v>
      </c>
      <c r="C111">
        <f t="shared" si="3"/>
        <v>45</v>
      </c>
      <c r="D111">
        <v>30</v>
      </c>
      <c r="E111" s="11">
        <f>+vacaciones[[#This Row],[Dias de Vacaciones]]/12</f>
        <v>2.5</v>
      </c>
    </row>
    <row r="112" spans="1:5" x14ac:dyDescent="0.2">
      <c r="A112" t="str">
        <f>+vacaciones[[#This Row],[País]]&amp;vacaciones[[#This Row],[Años laborados]]</f>
        <v>España46</v>
      </c>
      <c r="B112" t="s">
        <v>35</v>
      </c>
      <c r="C112">
        <f t="shared" si="3"/>
        <v>46</v>
      </c>
      <c r="D112">
        <v>30</v>
      </c>
      <c r="E112" s="11">
        <f>+vacaciones[[#This Row],[Dias de Vacaciones]]/12</f>
        <v>2.5</v>
      </c>
    </row>
    <row r="113" spans="1:5" x14ac:dyDescent="0.2">
      <c r="A113" t="str">
        <f>+vacaciones[[#This Row],[País]]&amp;vacaciones[[#This Row],[Años laborados]]</f>
        <v>España47</v>
      </c>
      <c r="B113" t="s">
        <v>35</v>
      </c>
      <c r="C113">
        <f t="shared" si="3"/>
        <v>47</v>
      </c>
      <c r="D113">
        <v>30</v>
      </c>
      <c r="E113" s="11">
        <f>+vacaciones[[#This Row],[Dias de Vacaciones]]/12</f>
        <v>2.5</v>
      </c>
    </row>
    <row r="114" spans="1:5" x14ac:dyDescent="0.2">
      <c r="A114" t="str">
        <f>+vacaciones[[#This Row],[País]]&amp;vacaciones[[#This Row],[Años laborados]]</f>
        <v>España48</v>
      </c>
      <c r="B114" t="s">
        <v>35</v>
      </c>
      <c r="C114">
        <f t="shared" si="3"/>
        <v>48</v>
      </c>
      <c r="D114">
        <v>30</v>
      </c>
      <c r="E114" s="11">
        <f>+vacaciones[[#This Row],[Dias de Vacaciones]]/12</f>
        <v>2.5</v>
      </c>
    </row>
    <row r="115" spans="1:5" x14ac:dyDescent="0.2">
      <c r="A115" t="str">
        <f>+vacaciones[[#This Row],[País]]&amp;vacaciones[[#This Row],[Años laborados]]</f>
        <v>España49</v>
      </c>
      <c r="B115" t="s">
        <v>35</v>
      </c>
      <c r="C115">
        <f t="shared" si="3"/>
        <v>49</v>
      </c>
      <c r="D115">
        <v>30</v>
      </c>
      <c r="E115" s="11">
        <f>+vacaciones[[#This Row],[Dias de Vacaciones]]/12</f>
        <v>2.5</v>
      </c>
    </row>
    <row r="116" spans="1:5" x14ac:dyDescent="0.2">
      <c r="A116" t="str">
        <f>+vacaciones[[#This Row],[País]]&amp;vacaciones[[#This Row],[Años laborados]]</f>
        <v>España50</v>
      </c>
      <c r="B116" t="s">
        <v>35</v>
      </c>
      <c r="C116">
        <f t="shared" si="3"/>
        <v>50</v>
      </c>
      <c r="D116">
        <v>30</v>
      </c>
      <c r="E116" s="11">
        <f>+vacaciones[[#This Row],[Dias de Vacaciones]]/12</f>
        <v>2.5</v>
      </c>
    </row>
    <row r="117" spans="1:5" x14ac:dyDescent="0.2">
      <c r="A117" t="str">
        <f>+vacaciones[[#This Row],[País]]&amp;vacaciones[[#This Row],[Años laborados]]</f>
        <v>España51</v>
      </c>
      <c r="B117" t="s">
        <v>35</v>
      </c>
      <c r="C117">
        <f t="shared" si="3"/>
        <v>51</v>
      </c>
      <c r="D117">
        <v>30</v>
      </c>
      <c r="E117" s="11">
        <f>+vacaciones[[#This Row],[Dias de Vacaciones]]/12</f>
        <v>2.5</v>
      </c>
    </row>
    <row r="118" spans="1:5" x14ac:dyDescent="0.2">
      <c r="A118" t="str">
        <f>+vacaciones[[#This Row],[País]]&amp;vacaciones[[#This Row],[Años laborados]]</f>
        <v>España52</v>
      </c>
      <c r="B118" t="s">
        <v>35</v>
      </c>
      <c r="C118">
        <f t="shared" si="3"/>
        <v>52</v>
      </c>
      <c r="D118">
        <v>30</v>
      </c>
      <c r="E118" s="11">
        <f>+vacaciones[[#This Row],[Dias de Vacaciones]]/12</f>
        <v>2.5</v>
      </c>
    </row>
    <row r="119" spans="1:5" x14ac:dyDescent="0.2">
      <c r="A119" t="str">
        <f>+vacaciones[[#This Row],[País]]&amp;vacaciones[[#This Row],[Años laborados]]</f>
        <v>España53</v>
      </c>
      <c r="B119" t="s">
        <v>35</v>
      </c>
      <c r="C119">
        <f t="shared" si="3"/>
        <v>53</v>
      </c>
      <c r="D119">
        <v>30</v>
      </c>
      <c r="E119" s="11">
        <f>+vacaciones[[#This Row],[Dias de Vacaciones]]/12</f>
        <v>2.5</v>
      </c>
    </row>
    <row r="120" spans="1:5" x14ac:dyDescent="0.2">
      <c r="A120" t="str">
        <f>+vacaciones[[#This Row],[País]]&amp;vacaciones[[#This Row],[Años laborados]]</f>
        <v>España54</v>
      </c>
      <c r="B120" t="s">
        <v>35</v>
      </c>
      <c r="C120">
        <f t="shared" si="3"/>
        <v>54</v>
      </c>
      <c r="D120">
        <v>30</v>
      </c>
      <c r="E120" s="11">
        <f>+vacaciones[[#This Row],[Dias de Vacaciones]]/12</f>
        <v>2.5</v>
      </c>
    </row>
    <row r="121" spans="1:5" x14ac:dyDescent="0.2">
      <c r="A121" t="str">
        <f>+vacaciones[[#This Row],[País]]&amp;vacaciones[[#This Row],[Años laborados]]</f>
        <v>España55</v>
      </c>
      <c r="B121" t="s">
        <v>35</v>
      </c>
      <c r="C121">
        <f t="shared" si="3"/>
        <v>55</v>
      </c>
      <c r="D121">
        <v>30</v>
      </c>
      <c r="E121" s="11">
        <f>+vacaciones[[#This Row],[Dias de Vacaciones]]/12</f>
        <v>2.5</v>
      </c>
    </row>
    <row r="122" spans="1:5" x14ac:dyDescent="0.2">
      <c r="A122" t="str">
        <f>+vacaciones[[#This Row],[País]]&amp;vacaciones[[#This Row],[Años laborados]]</f>
        <v>España56</v>
      </c>
      <c r="B122" t="s">
        <v>35</v>
      </c>
      <c r="C122">
        <f t="shared" si="3"/>
        <v>56</v>
      </c>
      <c r="D122">
        <v>30</v>
      </c>
      <c r="E122" s="11">
        <f>+vacaciones[[#This Row],[Dias de Vacaciones]]/12</f>
        <v>2.5</v>
      </c>
    </row>
    <row r="123" spans="1:5" x14ac:dyDescent="0.2">
      <c r="A123" t="str">
        <f>+vacaciones[[#This Row],[País]]&amp;vacaciones[[#This Row],[Años laborados]]</f>
        <v>España57</v>
      </c>
      <c r="B123" t="s">
        <v>35</v>
      </c>
      <c r="C123">
        <f t="shared" si="3"/>
        <v>57</v>
      </c>
      <c r="D123">
        <v>30</v>
      </c>
      <c r="E123" s="11">
        <f>+vacaciones[[#This Row],[Dias de Vacaciones]]/12</f>
        <v>2.5</v>
      </c>
    </row>
    <row r="124" spans="1:5" x14ac:dyDescent="0.2">
      <c r="A124" t="str">
        <f>+vacaciones[[#This Row],[País]]&amp;vacaciones[[#This Row],[Años laborados]]</f>
        <v>España58</v>
      </c>
      <c r="B124" t="s">
        <v>35</v>
      </c>
      <c r="C124">
        <f t="shared" si="3"/>
        <v>58</v>
      </c>
      <c r="D124">
        <v>30</v>
      </c>
      <c r="E124" s="11">
        <f>+vacaciones[[#This Row],[Dias de Vacaciones]]/12</f>
        <v>2.5</v>
      </c>
    </row>
    <row r="125" spans="1:5" x14ac:dyDescent="0.2">
      <c r="A125" t="str">
        <f>+vacaciones[[#This Row],[País]]&amp;vacaciones[[#This Row],[Años laborados]]</f>
        <v>España59</v>
      </c>
      <c r="B125" t="s">
        <v>35</v>
      </c>
      <c r="C125">
        <f t="shared" si="3"/>
        <v>59</v>
      </c>
      <c r="D125">
        <v>30</v>
      </c>
      <c r="E125" s="11">
        <f>+vacaciones[[#This Row],[Dias de Vacaciones]]/12</f>
        <v>2.5</v>
      </c>
    </row>
    <row r="126" spans="1:5" x14ac:dyDescent="0.2">
      <c r="A126" t="str">
        <f>+vacaciones[[#This Row],[País]]&amp;vacaciones[[#This Row],[Años laborados]]</f>
        <v>España60</v>
      </c>
      <c r="B126" t="s">
        <v>35</v>
      </c>
      <c r="C126">
        <f t="shared" si="3"/>
        <v>60</v>
      </c>
      <c r="D126">
        <v>30</v>
      </c>
      <c r="E126" s="11">
        <f>+vacaciones[[#This Row],[Dias de Vacaciones]]/12</f>
        <v>2.5</v>
      </c>
    </row>
    <row r="127" spans="1:5" x14ac:dyDescent="0.2">
      <c r="A127" t="str">
        <f>+vacaciones[[#This Row],[País]]&amp;vacaciones[[#This Row],[Años laborados]]</f>
        <v>España61</v>
      </c>
      <c r="B127" t="s">
        <v>35</v>
      </c>
      <c r="C127">
        <f t="shared" si="3"/>
        <v>61</v>
      </c>
      <c r="D127">
        <v>30</v>
      </c>
      <c r="E127" s="11">
        <f>+vacaciones[[#This Row],[Dias de Vacaciones]]/12</f>
        <v>2.5</v>
      </c>
    </row>
    <row r="128" spans="1:5" x14ac:dyDescent="0.2">
      <c r="A128" t="str">
        <f>+vacaciones[[#This Row],[País]]&amp;vacaciones[[#This Row],[Años laborados]]</f>
        <v>España62</v>
      </c>
      <c r="B128" t="s">
        <v>35</v>
      </c>
      <c r="C128">
        <f t="shared" si="3"/>
        <v>62</v>
      </c>
      <c r="D128">
        <v>30</v>
      </c>
      <c r="E128" s="11">
        <f>+vacaciones[[#This Row],[Dias de Vacaciones]]/12</f>
        <v>2.5</v>
      </c>
    </row>
    <row r="129" spans="1:5" x14ac:dyDescent="0.2">
      <c r="A129" t="str">
        <f>+vacaciones[[#This Row],[País]]&amp;vacaciones[[#This Row],[Años laborados]]</f>
        <v>España63</v>
      </c>
      <c r="B129" t="s">
        <v>35</v>
      </c>
      <c r="C129">
        <f t="shared" si="3"/>
        <v>63</v>
      </c>
      <c r="D129">
        <v>30</v>
      </c>
      <c r="E129" s="11">
        <f>+vacaciones[[#This Row],[Dias de Vacaciones]]/12</f>
        <v>2.5</v>
      </c>
    </row>
    <row r="130" spans="1:5" x14ac:dyDescent="0.2">
      <c r="A130" t="str">
        <f>+vacaciones[[#This Row],[País]]&amp;vacaciones[[#This Row],[Años laborados]]</f>
        <v>España64</v>
      </c>
      <c r="B130" t="s">
        <v>35</v>
      </c>
      <c r="C130">
        <f t="shared" si="3"/>
        <v>64</v>
      </c>
      <c r="D130">
        <v>30</v>
      </c>
      <c r="E130" s="11">
        <f>+vacaciones[[#This Row],[Dias de Vacaciones]]/12</f>
        <v>2.5</v>
      </c>
    </row>
    <row r="131" spans="1:5" x14ac:dyDescent="0.2">
      <c r="A131" t="str">
        <f>+vacaciones[[#This Row],[País]]&amp;vacaciones[[#This Row],[Años laborados]]</f>
        <v>España65</v>
      </c>
      <c r="B131" t="s">
        <v>35</v>
      </c>
      <c r="C131">
        <f t="shared" si="3"/>
        <v>65</v>
      </c>
      <c r="D131">
        <v>30</v>
      </c>
      <c r="E131" s="11">
        <f>+vacaciones[[#This Row],[Dias de Vacaciones]]/12</f>
        <v>2.5</v>
      </c>
    </row>
    <row r="132" spans="1:5" x14ac:dyDescent="0.2">
      <c r="A132" t="str">
        <f>+vacaciones[[#This Row],[País]]&amp;vacaciones[[#This Row],[Años laborados]]</f>
        <v>México1</v>
      </c>
      <c r="B132" t="s">
        <v>36</v>
      </c>
      <c r="C132">
        <v>1</v>
      </c>
      <c r="D132">
        <v>6</v>
      </c>
      <c r="E132" s="11">
        <f>+vacaciones[[#This Row],[Dias de Vacaciones]]/12</f>
        <v>0.5</v>
      </c>
    </row>
    <row r="133" spans="1:5" x14ac:dyDescent="0.2">
      <c r="A133" t="str">
        <f>+vacaciones[[#This Row],[País]]&amp;vacaciones[[#This Row],[Años laborados]]</f>
        <v>México2</v>
      </c>
      <c r="B133" t="s">
        <v>36</v>
      </c>
      <c r="C133">
        <v>2</v>
      </c>
      <c r="D133">
        <v>8</v>
      </c>
      <c r="E133" s="11">
        <f>+vacaciones[[#This Row],[Dias de Vacaciones]]/12</f>
        <v>0.66666666666666663</v>
      </c>
    </row>
    <row r="134" spans="1:5" x14ac:dyDescent="0.2">
      <c r="A134" t="str">
        <f>+vacaciones[[#This Row],[País]]&amp;vacaciones[[#This Row],[Años laborados]]</f>
        <v>México3</v>
      </c>
      <c r="B134" t="s">
        <v>36</v>
      </c>
      <c r="C134">
        <v>3</v>
      </c>
      <c r="D134">
        <v>10</v>
      </c>
      <c r="E134" s="11">
        <f>+vacaciones[[#This Row],[Dias de Vacaciones]]/12</f>
        <v>0.83333333333333337</v>
      </c>
    </row>
    <row r="135" spans="1:5" x14ac:dyDescent="0.2">
      <c r="A135" t="str">
        <f>+vacaciones[[#This Row],[País]]&amp;vacaciones[[#This Row],[Años laborados]]</f>
        <v>México4</v>
      </c>
      <c r="B135" t="s">
        <v>36</v>
      </c>
      <c r="C135">
        <v>4</v>
      </c>
      <c r="D135">
        <v>12</v>
      </c>
      <c r="E135" s="11">
        <f>+vacaciones[[#This Row],[Dias de Vacaciones]]/12</f>
        <v>1</v>
      </c>
    </row>
    <row r="136" spans="1:5" x14ac:dyDescent="0.2">
      <c r="A136" t="str">
        <f>+vacaciones[[#This Row],[País]]&amp;vacaciones[[#This Row],[Años laborados]]</f>
        <v>México5</v>
      </c>
      <c r="B136" t="s">
        <v>36</v>
      </c>
      <c r="C136">
        <v>5</v>
      </c>
      <c r="D136">
        <v>14</v>
      </c>
      <c r="E136" s="11">
        <f>+vacaciones[[#This Row],[Dias de Vacaciones]]/12</f>
        <v>1.1666666666666667</v>
      </c>
    </row>
    <row r="137" spans="1:5" x14ac:dyDescent="0.2">
      <c r="A137" t="str">
        <f>+vacaciones[[#This Row],[País]]&amp;vacaciones[[#This Row],[Años laborados]]</f>
        <v>México6</v>
      </c>
      <c r="B137" t="s">
        <v>36</v>
      </c>
      <c r="C137">
        <v>6</v>
      </c>
      <c r="D137">
        <v>14</v>
      </c>
      <c r="E137" s="11">
        <f>+vacaciones[[#This Row],[Dias de Vacaciones]]/12</f>
        <v>1.1666666666666667</v>
      </c>
    </row>
    <row r="138" spans="1:5" x14ac:dyDescent="0.2">
      <c r="A138" t="str">
        <f>+vacaciones[[#This Row],[País]]&amp;vacaciones[[#This Row],[Años laborados]]</f>
        <v>México7</v>
      </c>
      <c r="B138" t="s">
        <v>36</v>
      </c>
      <c r="C138">
        <v>7</v>
      </c>
      <c r="D138">
        <v>14</v>
      </c>
      <c r="E138" s="11">
        <f>+vacaciones[[#This Row],[Dias de Vacaciones]]/12</f>
        <v>1.1666666666666667</v>
      </c>
    </row>
    <row r="139" spans="1:5" x14ac:dyDescent="0.2">
      <c r="A139" t="str">
        <f>+vacaciones[[#This Row],[País]]&amp;vacaciones[[#This Row],[Años laborados]]</f>
        <v>México8</v>
      </c>
      <c r="B139" t="s">
        <v>36</v>
      </c>
      <c r="C139">
        <v>8</v>
      </c>
      <c r="D139">
        <v>14</v>
      </c>
      <c r="E139" s="11">
        <f>+vacaciones[[#This Row],[Dias de Vacaciones]]/12</f>
        <v>1.1666666666666667</v>
      </c>
    </row>
    <row r="140" spans="1:5" x14ac:dyDescent="0.2">
      <c r="A140" t="str">
        <f>+vacaciones[[#This Row],[País]]&amp;vacaciones[[#This Row],[Años laborados]]</f>
        <v>México9</v>
      </c>
      <c r="B140" t="s">
        <v>36</v>
      </c>
      <c r="C140">
        <v>9</v>
      </c>
      <c r="D140">
        <v>14</v>
      </c>
      <c r="E140" s="11">
        <f>+vacaciones[[#This Row],[Dias de Vacaciones]]/12</f>
        <v>1.1666666666666667</v>
      </c>
    </row>
    <row r="141" spans="1:5" x14ac:dyDescent="0.2">
      <c r="A141" t="str">
        <f>+vacaciones[[#This Row],[País]]&amp;vacaciones[[#This Row],[Años laborados]]</f>
        <v>México10</v>
      </c>
      <c r="B141" t="s">
        <v>36</v>
      </c>
      <c r="C141">
        <v>10</v>
      </c>
      <c r="D141">
        <v>16</v>
      </c>
      <c r="E141" s="11">
        <f>+vacaciones[[#This Row],[Dias de Vacaciones]]/12</f>
        <v>1.3333333333333333</v>
      </c>
    </row>
    <row r="142" spans="1:5" x14ac:dyDescent="0.2">
      <c r="A142" t="str">
        <f>+vacaciones[[#This Row],[País]]&amp;vacaciones[[#This Row],[Años laborados]]</f>
        <v>México11</v>
      </c>
      <c r="B142" t="s">
        <v>36</v>
      </c>
      <c r="C142">
        <v>11</v>
      </c>
      <c r="D142">
        <v>16</v>
      </c>
      <c r="E142" s="11">
        <f>+vacaciones[[#This Row],[Dias de Vacaciones]]/12</f>
        <v>1.3333333333333333</v>
      </c>
    </row>
    <row r="143" spans="1:5" x14ac:dyDescent="0.2">
      <c r="A143" t="str">
        <f>+vacaciones[[#This Row],[País]]&amp;vacaciones[[#This Row],[Años laborados]]</f>
        <v>México12</v>
      </c>
      <c r="B143" t="s">
        <v>36</v>
      </c>
      <c r="C143">
        <v>12</v>
      </c>
      <c r="D143">
        <v>16</v>
      </c>
      <c r="E143" s="11">
        <f>+vacaciones[[#This Row],[Dias de Vacaciones]]/12</f>
        <v>1.3333333333333333</v>
      </c>
    </row>
    <row r="144" spans="1:5" x14ac:dyDescent="0.2">
      <c r="A144" t="str">
        <f>+vacaciones[[#This Row],[País]]&amp;vacaciones[[#This Row],[Años laborados]]</f>
        <v>México13</v>
      </c>
      <c r="B144" t="s">
        <v>36</v>
      </c>
      <c r="C144">
        <v>13</v>
      </c>
      <c r="D144">
        <v>16</v>
      </c>
      <c r="E144" s="11">
        <f>+vacaciones[[#This Row],[Dias de Vacaciones]]/12</f>
        <v>1.3333333333333333</v>
      </c>
    </row>
    <row r="145" spans="1:5" x14ac:dyDescent="0.2">
      <c r="A145" t="str">
        <f>+vacaciones[[#This Row],[País]]&amp;vacaciones[[#This Row],[Años laborados]]</f>
        <v>México14</v>
      </c>
      <c r="B145" t="s">
        <v>36</v>
      </c>
      <c r="C145">
        <v>14</v>
      </c>
      <c r="D145">
        <v>16</v>
      </c>
      <c r="E145" s="11">
        <f>+vacaciones[[#This Row],[Dias de Vacaciones]]/12</f>
        <v>1.3333333333333333</v>
      </c>
    </row>
    <row r="146" spans="1:5" x14ac:dyDescent="0.2">
      <c r="A146" t="str">
        <f>+vacaciones[[#This Row],[País]]&amp;vacaciones[[#This Row],[Años laborados]]</f>
        <v>México15</v>
      </c>
      <c r="B146" t="s">
        <v>36</v>
      </c>
      <c r="C146">
        <v>15</v>
      </c>
      <c r="D146">
        <v>18</v>
      </c>
      <c r="E146" s="11">
        <f>+vacaciones[[#This Row],[Dias de Vacaciones]]/12</f>
        <v>1.5</v>
      </c>
    </row>
    <row r="147" spans="1:5" x14ac:dyDescent="0.2">
      <c r="A147" t="str">
        <f>+vacaciones[[#This Row],[País]]&amp;vacaciones[[#This Row],[Años laborados]]</f>
        <v>México16</v>
      </c>
      <c r="B147" t="s">
        <v>36</v>
      </c>
      <c r="C147">
        <v>16</v>
      </c>
      <c r="D147">
        <v>18</v>
      </c>
      <c r="E147" s="11">
        <f>+vacaciones[[#This Row],[Dias de Vacaciones]]/12</f>
        <v>1.5</v>
      </c>
    </row>
    <row r="148" spans="1:5" x14ac:dyDescent="0.2">
      <c r="A148" t="str">
        <f>+vacaciones[[#This Row],[País]]&amp;vacaciones[[#This Row],[Años laborados]]</f>
        <v>México17</v>
      </c>
      <c r="B148" t="s">
        <v>36</v>
      </c>
      <c r="C148">
        <v>17</v>
      </c>
      <c r="D148">
        <v>18</v>
      </c>
      <c r="E148" s="11">
        <f>+vacaciones[[#This Row],[Dias de Vacaciones]]/12</f>
        <v>1.5</v>
      </c>
    </row>
    <row r="149" spans="1:5" x14ac:dyDescent="0.2">
      <c r="A149" t="str">
        <f>+vacaciones[[#This Row],[País]]&amp;vacaciones[[#This Row],[Años laborados]]</f>
        <v>México18</v>
      </c>
      <c r="B149" t="s">
        <v>36</v>
      </c>
      <c r="C149">
        <v>18</v>
      </c>
      <c r="D149">
        <v>18</v>
      </c>
      <c r="E149" s="11">
        <f>+vacaciones[[#This Row],[Dias de Vacaciones]]/12</f>
        <v>1.5</v>
      </c>
    </row>
    <row r="150" spans="1:5" x14ac:dyDescent="0.2">
      <c r="A150" t="str">
        <f>+vacaciones[[#This Row],[País]]&amp;vacaciones[[#This Row],[Años laborados]]</f>
        <v>México19</v>
      </c>
      <c r="B150" t="s">
        <v>36</v>
      </c>
      <c r="C150">
        <v>19</v>
      </c>
      <c r="D150">
        <v>18</v>
      </c>
      <c r="E150" s="11">
        <f>+vacaciones[[#This Row],[Dias de Vacaciones]]/12</f>
        <v>1.5</v>
      </c>
    </row>
    <row r="151" spans="1:5" x14ac:dyDescent="0.2">
      <c r="A151" t="str">
        <f>+vacaciones[[#This Row],[País]]&amp;vacaciones[[#This Row],[Años laborados]]</f>
        <v>México20</v>
      </c>
      <c r="B151" t="s">
        <v>36</v>
      </c>
      <c r="C151">
        <v>20</v>
      </c>
      <c r="D151">
        <v>20</v>
      </c>
      <c r="E151" s="11">
        <f>+vacaciones[[#This Row],[Dias de Vacaciones]]/12</f>
        <v>1.6666666666666667</v>
      </c>
    </row>
    <row r="152" spans="1:5" x14ac:dyDescent="0.2">
      <c r="A152" t="str">
        <f>+vacaciones[[#This Row],[País]]&amp;vacaciones[[#This Row],[Años laborados]]</f>
        <v>México21</v>
      </c>
      <c r="B152" t="s">
        <v>36</v>
      </c>
      <c r="C152">
        <v>21</v>
      </c>
      <c r="D152">
        <v>20</v>
      </c>
      <c r="E152" s="11">
        <f>+vacaciones[[#This Row],[Dias de Vacaciones]]/12</f>
        <v>1.6666666666666667</v>
      </c>
    </row>
    <row r="153" spans="1:5" x14ac:dyDescent="0.2">
      <c r="A153" t="str">
        <f>+vacaciones[[#This Row],[País]]&amp;vacaciones[[#This Row],[Años laborados]]</f>
        <v>México22</v>
      </c>
      <c r="B153" t="s">
        <v>36</v>
      </c>
      <c r="C153">
        <v>22</v>
      </c>
      <c r="D153">
        <v>20</v>
      </c>
      <c r="E153" s="11">
        <f>+vacaciones[[#This Row],[Dias de Vacaciones]]/12</f>
        <v>1.6666666666666667</v>
      </c>
    </row>
    <row r="154" spans="1:5" x14ac:dyDescent="0.2">
      <c r="A154" t="str">
        <f>+vacaciones[[#This Row],[País]]&amp;vacaciones[[#This Row],[Años laborados]]</f>
        <v>México23</v>
      </c>
      <c r="B154" t="s">
        <v>36</v>
      </c>
      <c r="C154">
        <v>23</v>
      </c>
      <c r="D154">
        <v>20</v>
      </c>
      <c r="E154" s="11">
        <f>+vacaciones[[#This Row],[Dias de Vacaciones]]/12</f>
        <v>1.6666666666666667</v>
      </c>
    </row>
    <row r="155" spans="1:5" x14ac:dyDescent="0.2">
      <c r="A155" t="str">
        <f>+vacaciones[[#This Row],[País]]&amp;vacaciones[[#This Row],[Años laborados]]</f>
        <v>México24</v>
      </c>
      <c r="B155" t="s">
        <v>36</v>
      </c>
      <c r="C155">
        <v>24</v>
      </c>
      <c r="D155">
        <v>20</v>
      </c>
      <c r="E155" s="11">
        <f>+vacaciones[[#This Row],[Dias de Vacaciones]]/12</f>
        <v>1.6666666666666667</v>
      </c>
    </row>
    <row r="156" spans="1:5" x14ac:dyDescent="0.2">
      <c r="A156" t="str">
        <f>+vacaciones[[#This Row],[País]]&amp;vacaciones[[#This Row],[Años laborados]]</f>
        <v>México25</v>
      </c>
      <c r="B156" t="s">
        <v>36</v>
      </c>
      <c r="C156">
        <v>25</v>
      </c>
      <c r="D156">
        <v>22</v>
      </c>
      <c r="E156" s="11">
        <f>+vacaciones[[#This Row],[Dias de Vacaciones]]/12</f>
        <v>1.8333333333333333</v>
      </c>
    </row>
    <row r="157" spans="1:5" x14ac:dyDescent="0.2">
      <c r="A157" t="str">
        <f>+vacaciones[[#This Row],[País]]&amp;vacaciones[[#This Row],[Años laborados]]</f>
        <v>México26</v>
      </c>
      <c r="B157" t="s">
        <v>36</v>
      </c>
      <c r="C157">
        <v>26</v>
      </c>
      <c r="D157">
        <v>22</v>
      </c>
      <c r="E157" s="11">
        <f>+vacaciones[[#This Row],[Dias de Vacaciones]]/12</f>
        <v>1.8333333333333333</v>
      </c>
    </row>
    <row r="158" spans="1:5" x14ac:dyDescent="0.2">
      <c r="A158" t="str">
        <f>+vacaciones[[#This Row],[País]]&amp;vacaciones[[#This Row],[Años laborados]]</f>
        <v>México27</v>
      </c>
      <c r="B158" t="s">
        <v>36</v>
      </c>
      <c r="C158">
        <v>27</v>
      </c>
      <c r="D158">
        <v>22</v>
      </c>
      <c r="E158" s="11">
        <f>+vacaciones[[#This Row],[Dias de Vacaciones]]/12</f>
        <v>1.8333333333333333</v>
      </c>
    </row>
    <row r="159" spans="1:5" x14ac:dyDescent="0.2">
      <c r="A159" t="str">
        <f>+vacaciones[[#This Row],[País]]&amp;vacaciones[[#This Row],[Años laborados]]</f>
        <v>México28</v>
      </c>
      <c r="B159" t="s">
        <v>36</v>
      </c>
      <c r="C159">
        <v>28</v>
      </c>
      <c r="D159">
        <v>22</v>
      </c>
      <c r="E159" s="11">
        <f>+vacaciones[[#This Row],[Dias de Vacaciones]]/12</f>
        <v>1.8333333333333333</v>
      </c>
    </row>
    <row r="160" spans="1:5" x14ac:dyDescent="0.2">
      <c r="A160" t="str">
        <f>+vacaciones[[#This Row],[País]]&amp;vacaciones[[#This Row],[Años laborados]]</f>
        <v>México29</v>
      </c>
      <c r="B160" t="s">
        <v>36</v>
      </c>
      <c r="C160">
        <v>29</v>
      </c>
      <c r="D160">
        <v>22</v>
      </c>
      <c r="E160" s="11">
        <f>+vacaciones[[#This Row],[Dias de Vacaciones]]/12</f>
        <v>1.8333333333333333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AF56F-7951-4EA3-9D38-A72AD926472B}">
  <sheetPr codeName="Hoja5">
    <tabColor theme="0"/>
  </sheetPr>
  <dimension ref="A1:P47"/>
  <sheetViews>
    <sheetView showGridLines="0" showRowColHeaders="0" zoomScale="85" zoomScaleNormal="85" workbookViewId="0">
      <pane ySplit="5" topLeftCell="A6" activePane="bottomLeft" state="frozen"/>
      <selection activeCell="F56" sqref="F56"/>
      <selection pane="bottomLeft" activeCell="I61" sqref="I61"/>
    </sheetView>
  </sheetViews>
  <sheetFormatPr baseColWidth="10" defaultColWidth="0" defaultRowHeight="15.75" x14ac:dyDescent="0.25"/>
  <cols>
    <col min="1" max="1" width="1.75" style="112" customWidth="1"/>
    <col min="2" max="7" width="16.625" style="112" customWidth="1"/>
    <col min="8" max="8" width="10.125" style="112" customWidth="1"/>
    <col min="9" max="11" width="16.625" style="112" customWidth="1"/>
    <col min="12" max="12" width="4.375" style="112" customWidth="1"/>
    <col min="13" max="16" width="0" style="111" hidden="1" customWidth="1"/>
    <col min="17" max="16384" width="10" style="111" hidden="1"/>
  </cols>
  <sheetData>
    <row r="1" spans="1:12" ht="51.75" customHeight="1" x14ac:dyDescent="0.25">
      <c r="A1" s="109"/>
      <c r="B1" s="110"/>
      <c r="C1" s="110"/>
      <c r="D1" s="110"/>
      <c r="E1" s="110"/>
      <c r="F1" s="110"/>
      <c r="G1" s="110"/>
      <c r="H1" s="110"/>
      <c r="I1" s="110"/>
      <c r="J1" s="110"/>
      <c r="K1" s="110"/>
      <c r="L1" s="110"/>
    </row>
    <row r="2" spans="1:12" ht="5.25" customHeight="1" x14ac:dyDescent="0.25">
      <c r="A2" s="111"/>
      <c r="B2" s="111"/>
      <c r="C2" s="111"/>
      <c r="D2" s="111"/>
      <c r="E2" s="111"/>
      <c r="F2" s="111"/>
      <c r="G2" s="111"/>
      <c r="H2" s="111"/>
      <c r="I2" s="111"/>
      <c r="J2" s="111"/>
      <c r="K2" s="111"/>
      <c r="L2" s="111"/>
    </row>
    <row r="3" spans="1:12" ht="9.9499999999999993" customHeight="1" x14ac:dyDescent="0.25"/>
    <row r="4" spans="1:12" ht="24" customHeight="1" x14ac:dyDescent="0.25"/>
    <row r="5" spans="1:12" ht="24" customHeight="1" x14ac:dyDescent="0.25"/>
    <row r="6" spans="1:12" ht="42" customHeight="1" x14ac:dyDescent="0.25">
      <c r="B6" s="113" t="s">
        <v>80</v>
      </c>
      <c r="C6" s="114" t="s">
        <v>87</v>
      </c>
      <c r="D6" s="115"/>
      <c r="E6" s="115"/>
      <c r="F6" s="115"/>
      <c r="G6" s="115"/>
      <c r="H6" s="115"/>
      <c r="I6" s="115"/>
      <c r="J6" s="115"/>
      <c r="K6" s="115"/>
    </row>
    <row r="7" spans="1:12" ht="42" customHeight="1" x14ac:dyDescent="0.25">
      <c r="B7" s="116" t="s">
        <v>81</v>
      </c>
      <c r="C7" s="115"/>
      <c r="D7" s="117"/>
      <c r="E7" s="115"/>
      <c r="F7" s="115"/>
      <c r="G7" s="115"/>
      <c r="H7" s="115"/>
      <c r="I7" s="115"/>
      <c r="J7" s="115"/>
      <c r="K7" s="115"/>
    </row>
    <row r="8" spans="1:12" ht="15" customHeight="1" x14ac:dyDescent="0.25"/>
    <row r="47" spans="9:9" s="112" customFormat="1" ht="23.25" x14ac:dyDescent="0.35">
      <c r="I47" s="118"/>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66341-C920-493B-905F-36297D5099C5}">
  <sheetPr codeName="Hoja11">
    <tabColor rgb="FFFF0000"/>
  </sheetPr>
  <dimension ref="A1:M18"/>
  <sheetViews>
    <sheetView showGridLines="0" showRowColHeaders="0" workbookViewId="0"/>
  </sheetViews>
  <sheetFormatPr baseColWidth="10" defaultRowHeight="14.25" x14ac:dyDescent="0.2"/>
  <cols>
    <col min="1" max="1" width="19.25" customWidth="1"/>
    <col min="2" max="2" width="13.625" bestFit="1" customWidth="1"/>
    <col min="3" max="3" width="8.125" customWidth="1"/>
    <col min="4" max="4" width="9.75" customWidth="1"/>
    <col min="5" max="5" width="12.25" customWidth="1"/>
    <col min="6" max="6" width="32.5" bestFit="1" customWidth="1"/>
    <col min="7" max="7" width="11.375" customWidth="1"/>
    <col min="8" max="8" width="16.875" bestFit="1" customWidth="1"/>
    <col min="9" max="9" width="2.75" customWidth="1"/>
    <col min="10" max="10" width="12.375" customWidth="1"/>
    <col min="11" max="11" width="1.375" customWidth="1"/>
    <col min="12" max="12" width="13.75" bestFit="1" customWidth="1"/>
  </cols>
  <sheetData>
    <row r="1" spans="1:13" ht="15" x14ac:dyDescent="0.25">
      <c r="A1" s="1" t="s">
        <v>4</v>
      </c>
      <c r="E1" s="3" t="s">
        <v>8</v>
      </c>
      <c r="F1" s="3"/>
      <c r="G1" s="3"/>
    </row>
    <row r="2" spans="1:13" ht="6" customHeight="1" x14ac:dyDescent="0.2"/>
    <row r="3" spans="1:13" ht="6" customHeight="1" x14ac:dyDescent="0.2"/>
    <row r="4" spans="1:13" ht="15" x14ac:dyDescent="0.25">
      <c r="A4" t="s">
        <v>25</v>
      </c>
      <c r="B4" s="5">
        <v>2021</v>
      </c>
      <c r="E4" t="s">
        <v>6</v>
      </c>
      <c r="F4" t="s">
        <v>7</v>
      </c>
      <c r="G4" t="s">
        <v>20</v>
      </c>
      <c r="H4" t="s">
        <v>24</v>
      </c>
      <c r="J4" s="1" t="s">
        <v>21</v>
      </c>
      <c r="L4" t="s">
        <v>52</v>
      </c>
      <c r="M4" t="s">
        <v>53</v>
      </c>
    </row>
    <row r="5" spans="1:13" ht="15" x14ac:dyDescent="0.25">
      <c r="A5" t="s">
        <v>3</v>
      </c>
      <c r="B5" s="6">
        <v>8</v>
      </c>
      <c r="E5" s="2">
        <v>44197</v>
      </c>
      <c r="F5" t="s">
        <v>9</v>
      </c>
      <c r="G5" t="s">
        <v>22</v>
      </c>
      <c r="H5" s="2">
        <f>+SUBSTITUTE(TEXT(nolaborales[[#This Row],[Fecha]],"dd/mm/aaaa"),RIGHT(TEXT(nolaborales[[#This Row],[Fecha]],"dd/mm/aaaa"),4),$B$4)*1</f>
        <v>44197</v>
      </c>
      <c r="J5" t="s">
        <v>22</v>
      </c>
      <c r="L5" t="s">
        <v>50</v>
      </c>
      <c r="M5">
        <v>1</v>
      </c>
    </row>
    <row r="6" spans="1:13" ht="15" x14ac:dyDescent="0.25">
      <c r="A6" t="s">
        <v>33</v>
      </c>
      <c r="B6" s="10" t="s">
        <v>35</v>
      </c>
      <c r="C6" s="9" t="s">
        <v>28</v>
      </c>
      <c r="E6" s="2">
        <v>44202</v>
      </c>
      <c r="F6" t="s">
        <v>10</v>
      </c>
      <c r="G6" t="s">
        <v>22</v>
      </c>
      <c r="H6" s="2">
        <f>+SUBSTITUTE(TEXT(nolaborales[[#This Row],[Fecha]],"dd/mm/aaaa"),RIGHT(TEXT(nolaborales[[#This Row],[Fecha]],"dd/mm/aaaa"),4),$B$4)*1</f>
        <v>44202</v>
      </c>
      <c r="J6" t="s">
        <v>23</v>
      </c>
      <c r="L6" t="s">
        <v>51</v>
      </c>
      <c r="M6">
        <v>11</v>
      </c>
    </row>
    <row r="7" spans="1:13" x14ac:dyDescent="0.2">
      <c r="A7" t="s">
        <v>45</v>
      </c>
      <c r="B7" t="s">
        <v>50</v>
      </c>
      <c r="C7" s="17">
        <f>+VLOOKUP(B7,Tabla6[#All],2,FALSE)</f>
        <v>1</v>
      </c>
      <c r="E7" s="2">
        <v>44287</v>
      </c>
      <c r="F7" t="s">
        <v>11</v>
      </c>
      <c r="G7" t="s">
        <v>22</v>
      </c>
      <c r="H7" s="2">
        <f>+SUBSTITUTE(TEXT(nolaborales[[#This Row],[Fecha]],"dd/mm/aaaa"),RIGHT(TEXT(nolaborales[[#This Row],[Fecha]],"dd/mm/aaaa"),4),$B$4)*1</f>
        <v>44287</v>
      </c>
    </row>
    <row r="8" spans="1:13" x14ac:dyDescent="0.2">
      <c r="E8" s="2">
        <v>44288</v>
      </c>
      <c r="F8" t="s">
        <v>12</v>
      </c>
      <c r="G8" t="s">
        <v>22</v>
      </c>
      <c r="H8" s="2">
        <f>+SUBSTITUTE(TEXT(nolaborales[[#This Row],[Fecha]],"dd/mm/aaaa"),RIGHT(TEXT(nolaborales[[#This Row],[Fecha]],"dd/mm/aaaa"),4),$B$4)*1</f>
        <v>44288</v>
      </c>
    </row>
    <row r="9" spans="1:13" x14ac:dyDescent="0.2">
      <c r="E9" s="2">
        <v>44317</v>
      </c>
      <c r="F9" t="s">
        <v>13</v>
      </c>
      <c r="G9" t="s">
        <v>22</v>
      </c>
      <c r="H9" s="2">
        <f>+SUBSTITUTE(TEXT(nolaborales[[#This Row],[Fecha]],"dd/mm/aaaa"),RIGHT(TEXT(nolaborales[[#This Row],[Fecha]],"dd/mm/aaaa"),4),$B$4)*1</f>
        <v>44317</v>
      </c>
    </row>
    <row r="10" spans="1:13" x14ac:dyDescent="0.2">
      <c r="E10" s="2">
        <v>44423</v>
      </c>
      <c r="F10" t="s">
        <v>14</v>
      </c>
      <c r="G10" t="s">
        <v>22</v>
      </c>
      <c r="H10" s="2">
        <f>+SUBSTITUTE(TEXT(nolaborales[[#This Row],[Fecha]],"dd/mm/aaaa"),RIGHT(TEXT(nolaborales[[#This Row],[Fecha]],"dd/mm/aaaa"),4),$B$4)*1</f>
        <v>44423</v>
      </c>
    </row>
    <row r="11" spans="1:13" x14ac:dyDescent="0.2">
      <c r="E11" s="2">
        <v>44481</v>
      </c>
      <c r="F11" t="s">
        <v>15</v>
      </c>
      <c r="G11" t="s">
        <v>22</v>
      </c>
      <c r="H11" s="2">
        <f>+SUBSTITUTE(TEXT(nolaborales[[#This Row],[Fecha]],"dd/mm/aaaa"),RIGHT(TEXT(nolaborales[[#This Row],[Fecha]],"dd/mm/aaaa"),4),$B$4)*1</f>
        <v>44481</v>
      </c>
    </row>
    <row r="12" spans="1:13" ht="15" x14ac:dyDescent="0.25">
      <c r="A12" s="1" t="s">
        <v>76</v>
      </c>
      <c r="E12" s="2">
        <v>44501</v>
      </c>
      <c r="F12" t="s">
        <v>16</v>
      </c>
      <c r="G12" t="s">
        <v>22</v>
      </c>
      <c r="H12" s="2">
        <f>+SUBSTITUTE(TEXT(nolaborales[[#This Row],[Fecha]],"dd/mm/aaaa"),RIGHT(TEXT(nolaborales[[#This Row],[Fecha]],"dd/mm/aaaa"),4),$B$4)*1</f>
        <v>44501</v>
      </c>
    </row>
    <row r="13" spans="1:13" x14ac:dyDescent="0.2">
      <c r="A13" t="s">
        <v>70</v>
      </c>
      <c r="E13" s="2">
        <v>44536</v>
      </c>
      <c r="F13" t="s">
        <v>17</v>
      </c>
      <c r="G13" t="s">
        <v>22</v>
      </c>
      <c r="H13" s="2">
        <f>+SUBSTITUTE(TEXT(nolaborales[[#This Row],[Fecha]],"dd/mm/aaaa"),RIGHT(TEXT(nolaborales[[#This Row],[Fecha]],"dd/mm/aaaa"),4),$B$4)*1</f>
        <v>44536</v>
      </c>
    </row>
    <row r="14" spans="1:13" x14ac:dyDescent="0.2">
      <c r="A14" t="s">
        <v>29</v>
      </c>
      <c r="E14" s="2">
        <v>44538</v>
      </c>
      <c r="F14" t="s">
        <v>18</v>
      </c>
      <c r="G14" t="s">
        <v>22</v>
      </c>
      <c r="H14" s="2">
        <f>+SUBSTITUTE(TEXT(nolaborales[[#This Row],[Fecha]],"dd/mm/aaaa"),RIGHT(TEXT(nolaborales[[#This Row],[Fecha]],"dd/mm/aaaa"),4),$B$4)*1</f>
        <v>44538</v>
      </c>
    </row>
    <row r="15" spans="1:13" x14ac:dyDescent="0.2">
      <c r="A15" t="s">
        <v>77</v>
      </c>
      <c r="E15" s="2">
        <v>44555</v>
      </c>
      <c r="F15" t="s">
        <v>19</v>
      </c>
      <c r="G15" t="s">
        <v>22</v>
      </c>
      <c r="H15" s="2">
        <f>+SUBSTITUTE(TEXT(nolaborales[[#This Row],[Fecha]],"dd/mm/aaaa"),RIGHT(TEXT(nolaborales[[#This Row],[Fecha]],"dd/mm/aaaa"),4),$B$4)*1</f>
        <v>44555</v>
      </c>
    </row>
    <row r="16" spans="1:13" x14ac:dyDescent="0.2">
      <c r="A16" t="s">
        <v>75</v>
      </c>
      <c r="E16" s="2">
        <v>44211</v>
      </c>
      <c r="F16" t="s">
        <v>26</v>
      </c>
      <c r="G16" t="s">
        <v>23</v>
      </c>
      <c r="H16" s="2">
        <f>+SUBSTITUTE(TEXT(nolaborales[[#This Row],[Fecha]],"dd/mm/aaaa"),RIGHT(TEXT(nolaborales[[#This Row],[Fecha]],"dd/mm/aaaa"),4),$B$4)*1</f>
        <v>44211</v>
      </c>
    </row>
    <row r="17" spans="1:1" x14ac:dyDescent="0.2">
      <c r="A17" t="s">
        <v>74</v>
      </c>
    </row>
    <row r="18" spans="1:1" x14ac:dyDescent="0.2">
      <c r="A18" t="s">
        <v>78</v>
      </c>
    </row>
  </sheetData>
  <dataValidations count="4">
    <dataValidation type="list" allowBlank="1" showInputMessage="1" showErrorMessage="1" sqref="G5:G16" xr:uid="{CC9C3541-7514-499E-AD05-57CA44632EE1}">
      <formula1>INDIRECT("conceptos")</formula1>
    </dataValidation>
    <dataValidation allowBlank="1" showInputMessage="1" showErrorMessage="1" promptTitle="días vacaciones" prompt="Según la ley:_x000a__x000a_Colombia: 15 días_x000a_España: 30 días_x000a_México: Ver tabla" sqref="C6" xr:uid="{FFA30E4E-6E4C-4F8B-A233-BE8069386CCB}"/>
    <dataValidation type="list" allowBlank="1" showInputMessage="1" showErrorMessage="1" sqref="B6" xr:uid="{25480E7A-B95E-4AD5-95CE-E5A8D77168F7}">
      <formula1>"Colombia,España,México"</formula1>
    </dataValidation>
    <dataValidation type="list" allowBlank="1" showInputMessage="1" showErrorMessage="1" sqref="B7" xr:uid="{4C15F3C1-E1D7-43E8-9D6D-CDC39E785168}">
      <formula1>INDIRECT("Tabla6[Jornada]")</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4" r:id="rId3" name="Scroll Bar 6">
              <controlPr defaultSize="0" autoPict="0">
                <anchor moveWithCells="1">
                  <from>
                    <xdr:col>1</xdr:col>
                    <xdr:colOff>857250</xdr:colOff>
                    <xdr:row>3</xdr:row>
                    <xdr:rowOff>9525</xdr:rowOff>
                  </from>
                  <to>
                    <xdr:col>2</xdr:col>
                    <xdr:colOff>352425</xdr:colOff>
                    <xdr:row>4</xdr:row>
                    <xdr:rowOff>9525</xdr:rowOff>
                  </to>
                </anchor>
              </controlPr>
            </control>
          </mc:Choice>
        </mc:AlternateContent>
      </controls>
    </mc:Choice>
  </mc:AlternateContent>
  <tableParts count="4">
    <tablePart r:id="rId4"/>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4C7F7-89A8-4DD8-B13A-9A1D15EDD571}">
  <sheetPr codeName="Hoja3">
    <tabColor rgb="FF00B0F0"/>
  </sheetPr>
  <dimension ref="A1:M13"/>
  <sheetViews>
    <sheetView showGridLines="0" showRowColHeaders="0" workbookViewId="0">
      <pane ySplit="6" topLeftCell="A7" activePane="bottomLeft" state="frozen"/>
      <selection pane="bottomLeft" activeCell="B13" sqref="B13"/>
    </sheetView>
  </sheetViews>
  <sheetFormatPr baseColWidth="10" defaultRowHeight="14.25" x14ac:dyDescent="0.2"/>
  <cols>
    <col min="1" max="1" width="16.625" customWidth="1"/>
    <col min="2" max="2" width="18.75" customWidth="1"/>
    <col min="3" max="3" width="13.375" customWidth="1"/>
    <col min="4" max="4" width="14.375" customWidth="1"/>
    <col min="6" max="6" width="12.875" customWidth="1"/>
    <col min="8" max="8" width="13.125" customWidth="1"/>
    <col min="9" max="9" width="13.5" customWidth="1"/>
    <col min="10" max="10" width="12.25" customWidth="1"/>
    <col min="11" max="11" width="12.5" customWidth="1"/>
    <col min="12" max="12" width="13.125" customWidth="1"/>
    <col min="13" max="13" width="13.625" customWidth="1"/>
  </cols>
  <sheetData>
    <row r="1" spans="1:13" ht="13.5" hidden="1" customHeight="1" thickBot="1" x14ac:dyDescent="0.25">
      <c r="A1" s="100" t="s">
        <v>54</v>
      </c>
      <c r="B1" s="101">
        <f>+INDEX(Tabla6[[#All],[Cdigo]],MATCH(LIQUIDACIÓN!$B$3,Tabla6[[#All],[Jornada]],0))</f>
        <v>1</v>
      </c>
    </row>
    <row r="2" spans="1:13" ht="15.75" x14ac:dyDescent="0.25">
      <c r="A2" s="103" t="s">
        <v>33</v>
      </c>
      <c r="B2" s="105" t="str">
        <f>+PARAMETROS!B6</f>
        <v>España</v>
      </c>
    </row>
    <row r="3" spans="1:13" ht="16.5" thickBot="1" x14ac:dyDescent="0.3">
      <c r="A3" s="104" t="s">
        <v>3</v>
      </c>
      <c r="B3" s="106" t="str">
        <f>+PARAMETROS!B7</f>
        <v>Lunes - Viernes</v>
      </c>
    </row>
    <row r="4" spans="1:13" ht="15" x14ac:dyDescent="0.25">
      <c r="F4" s="9" t="s">
        <v>28</v>
      </c>
      <c r="G4" s="9"/>
      <c r="H4" s="9" t="s">
        <v>28</v>
      </c>
    </row>
    <row r="5" spans="1:13" ht="16.5" thickBot="1" x14ac:dyDescent="0.3">
      <c r="C5" s="126" t="s">
        <v>42</v>
      </c>
      <c r="D5" s="126"/>
      <c r="E5" s="126"/>
      <c r="F5" s="125" t="s">
        <v>43</v>
      </c>
      <c r="G5" s="125"/>
      <c r="H5" s="125"/>
      <c r="I5" s="125"/>
      <c r="J5" s="125"/>
      <c r="K5" s="9"/>
      <c r="M5" s="78">
        <f>+SUBTOTAL(9,programacion[Líquidación Vacaciones])</f>
        <v>22416666.666666668</v>
      </c>
    </row>
    <row r="6" spans="1:13" s="8" customFormat="1" ht="29.25" customHeight="1" thickTop="1" thickBot="1" x14ac:dyDescent="0.25">
      <c r="A6" s="7" t="s">
        <v>0</v>
      </c>
      <c r="B6" s="7" t="s">
        <v>1</v>
      </c>
      <c r="C6" s="92" t="s">
        <v>41</v>
      </c>
      <c r="D6" s="93" t="s">
        <v>64</v>
      </c>
      <c r="E6" s="94" t="s">
        <v>40</v>
      </c>
      <c r="F6" s="95" t="s">
        <v>5</v>
      </c>
      <c r="G6" s="96" t="s">
        <v>37</v>
      </c>
      <c r="H6" s="96" t="s">
        <v>2</v>
      </c>
      <c r="I6" s="96" t="s">
        <v>44</v>
      </c>
      <c r="J6" s="97" t="s">
        <v>30</v>
      </c>
      <c r="K6" s="98" t="s">
        <v>60</v>
      </c>
      <c r="L6" s="96" t="s">
        <v>61</v>
      </c>
      <c r="M6" s="99" t="s">
        <v>62</v>
      </c>
    </row>
    <row r="7" spans="1:13" ht="15.75" thickTop="1" x14ac:dyDescent="0.25">
      <c r="A7" t="s">
        <v>27</v>
      </c>
      <c r="B7" s="4" t="s">
        <v>74</v>
      </c>
      <c r="C7" s="89">
        <v>44201</v>
      </c>
      <c r="D7" s="90">
        <v>15</v>
      </c>
      <c r="E7" s="91">
        <f>+WORKDAY.INTL(programacion[[#This Row],[Fecha Inicio]],programacion[[#This Row],[Días Program.]],$B$1,nolaborales[Fecha Presente])</f>
        <v>44224</v>
      </c>
      <c r="F7" s="87">
        <v>42277</v>
      </c>
      <c r="G7" s="79">
        <f t="shared" ref="G7:G13" ca="1" si="0">+DATEDIF(F7,TODAY(),"m")</f>
        <v>72</v>
      </c>
      <c r="H7" s="80">
        <v>44108</v>
      </c>
      <c r="I7" s="81">
        <f t="shared" ref="I7:I13" ca="1" si="1">+DATEDIF(H7,TODAY(),"m")</f>
        <v>12</v>
      </c>
      <c r="J7" s="88">
        <f ca="1">+INT(IFERROR(VLOOKUP($B$2&amp;INT(G7/12),vacaciones[#All],5,FALSE),0)*I7)</f>
        <v>30</v>
      </c>
      <c r="K7" s="82">
        <v>1500000</v>
      </c>
      <c r="L7" s="83">
        <f>+programacion[[#This Row],[Salario Integro Mes]]/30</f>
        <v>50000</v>
      </c>
      <c r="M7" s="84">
        <f>+programacion[[#This Row],[Salario Día]]*programacion[[#This Row],[Días Program.]]</f>
        <v>750000</v>
      </c>
    </row>
    <row r="8" spans="1:13" ht="15" x14ac:dyDescent="0.25">
      <c r="A8" t="s">
        <v>48</v>
      </c>
      <c r="B8" s="4" t="s">
        <v>75</v>
      </c>
      <c r="C8" s="89">
        <v>44206</v>
      </c>
      <c r="D8" s="90">
        <v>10</v>
      </c>
      <c r="E8" s="91">
        <f>+WORKDAY.INTL(programacion[[#This Row],[Fecha Inicio]],programacion[[#This Row],[Días Program.]],$B$1,nolaborales[Fecha Presente])</f>
        <v>44221</v>
      </c>
      <c r="F8" s="87">
        <v>43480</v>
      </c>
      <c r="G8" s="79">
        <f t="shared" ca="1" si="0"/>
        <v>32</v>
      </c>
      <c r="H8" s="80">
        <v>43845</v>
      </c>
      <c r="I8" s="81">
        <f t="shared" ca="1" si="1"/>
        <v>20</v>
      </c>
      <c r="J8" s="88">
        <f ca="1">+INT(IFERROR(VLOOKUP($B$2&amp;INT(G8/12),vacaciones[#All],5,FALSE),0)*I8)</f>
        <v>50</v>
      </c>
      <c r="K8" s="82">
        <v>2000000</v>
      </c>
      <c r="L8" s="85">
        <f>+programacion[[#This Row],[Salario Integro Mes]]/30</f>
        <v>66666.666666666672</v>
      </c>
      <c r="M8" s="84">
        <f>+programacion[[#This Row],[Salario Día]]*programacion[[#This Row],[Días Program.]]</f>
        <v>666666.66666666674</v>
      </c>
    </row>
    <row r="9" spans="1:13" ht="15" x14ac:dyDescent="0.25">
      <c r="A9" t="s">
        <v>49</v>
      </c>
      <c r="B9" s="4" t="s">
        <v>29</v>
      </c>
      <c r="C9" s="89">
        <v>44197</v>
      </c>
      <c r="D9" s="90">
        <v>10</v>
      </c>
      <c r="E9" s="91">
        <f>+WORKDAY.INTL(programacion[[#This Row],[Fecha Inicio]],programacion[[#This Row],[Días Program.]],$B$1,nolaborales[Fecha Presente])</f>
        <v>44215</v>
      </c>
      <c r="F9" s="87">
        <v>43840</v>
      </c>
      <c r="G9" s="79">
        <f t="shared" ca="1" si="0"/>
        <v>21</v>
      </c>
      <c r="H9" s="80">
        <v>44206</v>
      </c>
      <c r="I9" s="81">
        <f t="shared" ca="1" si="1"/>
        <v>9</v>
      </c>
      <c r="J9" s="88">
        <f ca="1">+INT(IFERROR(VLOOKUP($B$2&amp;INT(G9/12),vacaciones[#All],5,FALSE),0)*I9)</f>
        <v>22</v>
      </c>
      <c r="K9" s="82">
        <v>3000000</v>
      </c>
      <c r="L9" s="83">
        <f>+programacion[[#This Row],[Salario Integro Mes]]/30</f>
        <v>100000</v>
      </c>
      <c r="M9" s="84">
        <f>+programacion[[#This Row],[Salario Día]]*programacion[[#This Row],[Días Program.]]</f>
        <v>1000000</v>
      </c>
    </row>
    <row r="10" spans="1:13" ht="15" x14ac:dyDescent="0.25">
      <c r="A10" t="s">
        <v>73</v>
      </c>
      <c r="B10" s="4" t="s">
        <v>74</v>
      </c>
      <c r="C10" s="89">
        <v>44216</v>
      </c>
      <c r="D10" s="90">
        <v>50</v>
      </c>
      <c r="E10" s="91">
        <f>+WORKDAY.INTL(programacion[[#This Row],[Fecha Inicio]],programacion[[#This Row],[Días Program.]],$B$1,nolaborales[Fecha Presente])</f>
        <v>44286</v>
      </c>
      <c r="F10" s="87">
        <v>43840</v>
      </c>
      <c r="G10" s="79">
        <f t="shared" ca="1" si="0"/>
        <v>21</v>
      </c>
      <c r="H10" s="80">
        <v>44206</v>
      </c>
      <c r="I10" s="81">
        <f t="shared" ca="1" si="1"/>
        <v>9</v>
      </c>
      <c r="J10" s="88">
        <f ca="1">+INT(IFERROR(VLOOKUP($B$2&amp;INT(G10/12),vacaciones[#All],5,FALSE),0)*I10)</f>
        <v>22</v>
      </c>
      <c r="K10" s="82">
        <v>3000000</v>
      </c>
      <c r="L10" s="86">
        <f>+programacion[[#This Row],[Salario Integro Mes]]/30</f>
        <v>100000</v>
      </c>
      <c r="M10" s="84">
        <f>+programacion[[#This Row],[Salario Día]]*programacion[[#This Row],[Días Program.]]</f>
        <v>5000000</v>
      </c>
    </row>
    <row r="11" spans="1:13" ht="15" x14ac:dyDescent="0.25">
      <c r="A11" t="s">
        <v>88</v>
      </c>
      <c r="B11" s="4" t="s">
        <v>74</v>
      </c>
      <c r="C11" s="89">
        <v>44216</v>
      </c>
      <c r="D11" s="90">
        <v>50</v>
      </c>
      <c r="E11" s="91">
        <f>+WORKDAY.INTL(programacion[[#This Row],[Fecha Inicio]],programacion[[#This Row],[Días Program.]],$B$1,nolaborales[Fecha Presente])</f>
        <v>44286</v>
      </c>
      <c r="F11" s="87">
        <v>43840</v>
      </c>
      <c r="G11" s="79">
        <f t="shared" ca="1" si="0"/>
        <v>21</v>
      </c>
      <c r="H11" s="80">
        <v>44206</v>
      </c>
      <c r="I11" s="81">
        <f t="shared" ca="1" si="1"/>
        <v>9</v>
      </c>
      <c r="J11" s="88">
        <f ca="1">+INT(IFERROR(VLOOKUP($B$2&amp;INT(G11/12),vacaciones[#All],5,FALSE),0)*I11)</f>
        <v>22</v>
      </c>
      <c r="K11" s="82">
        <v>3000000</v>
      </c>
      <c r="L11" s="86">
        <f>+programacion[[#This Row],[Salario Integro Mes]]/30</f>
        <v>100000</v>
      </c>
      <c r="M11" s="84">
        <f>+programacion[[#This Row],[Salario Día]]*programacion[[#This Row],[Días Program.]]</f>
        <v>5000000</v>
      </c>
    </row>
    <row r="12" spans="1:13" ht="15" x14ac:dyDescent="0.25">
      <c r="A12" t="s">
        <v>89</v>
      </c>
      <c r="B12" s="4" t="s">
        <v>74</v>
      </c>
      <c r="C12" s="89">
        <v>44216</v>
      </c>
      <c r="D12" s="90">
        <v>50</v>
      </c>
      <c r="E12" s="91">
        <f>+WORKDAY.INTL(programacion[[#This Row],[Fecha Inicio]],programacion[[#This Row],[Días Program.]],$B$1,nolaborales[Fecha Presente])</f>
        <v>44286</v>
      </c>
      <c r="F12" s="87">
        <v>43840</v>
      </c>
      <c r="G12" s="79">
        <f t="shared" ca="1" si="0"/>
        <v>21</v>
      </c>
      <c r="H12" s="80">
        <v>44206</v>
      </c>
      <c r="I12" s="81">
        <f t="shared" ca="1" si="1"/>
        <v>9</v>
      </c>
      <c r="J12" s="88">
        <f ca="1">+INT(IFERROR(VLOOKUP($B$2&amp;INT(G12/12),vacaciones[#All],5,FALSE),0)*I12)</f>
        <v>22</v>
      </c>
      <c r="K12" s="82">
        <v>3000000</v>
      </c>
      <c r="L12" s="86">
        <f>+programacion[[#This Row],[Salario Integro Mes]]/30</f>
        <v>100000</v>
      </c>
      <c r="M12" s="84">
        <f>+programacion[[#This Row],[Salario Día]]*programacion[[#This Row],[Días Program.]]</f>
        <v>5000000</v>
      </c>
    </row>
    <row r="13" spans="1:13" ht="15" x14ac:dyDescent="0.25">
      <c r="A13" t="s">
        <v>90</v>
      </c>
      <c r="B13" s="4" t="s">
        <v>74</v>
      </c>
      <c r="C13" s="89">
        <v>44216</v>
      </c>
      <c r="D13" s="90">
        <v>50</v>
      </c>
      <c r="E13" s="91">
        <f>+WORKDAY.INTL(programacion[[#This Row],[Fecha Inicio]],programacion[[#This Row],[Días Program.]],$B$1,nolaborales[Fecha Presente])</f>
        <v>44286</v>
      </c>
      <c r="F13" s="87">
        <v>43840</v>
      </c>
      <c r="G13" s="79">
        <f t="shared" ca="1" si="0"/>
        <v>21</v>
      </c>
      <c r="H13" s="80">
        <v>44206</v>
      </c>
      <c r="I13" s="81">
        <f t="shared" ca="1" si="1"/>
        <v>9</v>
      </c>
      <c r="J13" s="88">
        <f ca="1">+INT(IFERROR(VLOOKUP($B$2&amp;INT(G13/12),vacaciones[#All],5,FALSE),0)*I13)</f>
        <v>22</v>
      </c>
      <c r="K13" s="82">
        <v>3000000</v>
      </c>
      <c r="L13" s="86">
        <f>+programacion[[#This Row],[Salario Integro Mes]]/30</f>
        <v>100000</v>
      </c>
      <c r="M13" s="84">
        <f>+programacion[[#This Row],[Salario Día]]*programacion[[#This Row],[Días Program.]]</f>
        <v>5000000</v>
      </c>
    </row>
  </sheetData>
  <mergeCells count="2">
    <mergeCell ref="F5:J5"/>
    <mergeCell ref="C5:E5"/>
  </mergeCells>
  <dataValidations count="4">
    <dataValidation allowBlank="1" showInputMessage="1" showErrorMessage="1" promptTitle="Fecha Corte" prompt="Último día en que se incorporo del último periodo de vacaciones que se tomo" sqref="H4" xr:uid="{40994CDA-B796-4EF3-999A-F8FA39BA6395}"/>
    <dataValidation allowBlank="1" showInputMessage="1" showErrorMessage="1" promptTitle="Fecha Inicio" prompt="Fecha en la que inicio en la empresa" sqref="F4:G4" xr:uid="{BFE9ECEB-9579-4283-A598-D83550E90AD9}"/>
    <dataValidation allowBlank="1" showInputMessage="1" showErrorMessage="1" promptTitle="Salario Integral" prompt="Incluye: Salario Base  + Complementos (Aux. transporte) + Pagas extras prorrateadas" sqref="K5" xr:uid="{A9483A1A-301A-46FB-AE48-F8A35F9934F4}"/>
    <dataValidation type="list" allowBlank="1" showInputMessage="1" showErrorMessage="1" sqref="B7:B13" xr:uid="{61F626A3-D56A-43A1-ACE4-70AFCCB47593}">
      <formula1>INDIRECT("areas")</formula1>
    </dataValidation>
  </dataValidations>
  <pageMargins left="0.7" right="0.7" top="0.75" bottom="0.75" header="0.3" footer="0.3"/>
  <legacy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BC8CB-626A-4BEE-AF49-EAC3B8F72E84}">
  <sheetPr codeName="Hoja4">
    <tabColor rgb="FFFFC000"/>
  </sheetPr>
  <dimension ref="A1:NH100"/>
  <sheetViews>
    <sheetView showGridLines="0" zoomScale="85" zoomScaleNormal="85" workbookViewId="0">
      <pane xSplit="5" ySplit="3" topLeftCell="F4" activePane="bottomRight" state="frozen"/>
      <selection pane="topRight" activeCell="F1" sqref="F1"/>
      <selection pane="bottomLeft" activeCell="A4" sqref="A4"/>
      <selection pane="bottomRight" activeCell="C7" sqref="C7"/>
    </sheetView>
  </sheetViews>
  <sheetFormatPr baseColWidth="10" defaultColWidth="0" defaultRowHeight="14.25" zeroHeight="1" x14ac:dyDescent="0.2"/>
  <cols>
    <col min="1" max="1" width="17.5" customWidth="1"/>
    <col min="2" max="2" width="13.125" bestFit="1" customWidth="1"/>
    <col min="3" max="3" width="12.25" style="2" customWidth="1"/>
    <col min="4" max="4" width="14.75" style="58" customWidth="1"/>
    <col min="5" max="5" width="11" style="2" customWidth="1"/>
    <col min="6" max="6" width="0.75" customWidth="1"/>
    <col min="7" max="7" width="3.75" customWidth="1"/>
    <col min="8" max="8" width="3.5" customWidth="1"/>
    <col min="9" max="9" width="3" customWidth="1"/>
    <col min="10" max="11" width="3.625" customWidth="1"/>
    <col min="12" max="12" width="4.25" customWidth="1"/>
    <col min="13" max="287" width="3.625" customWidth="1"/>
    <col min="288" max="288" width="3.75" bestFit="1" customWidth="1"/>
    <col min="289" max="371" width="3.625" customWidth="1"/>
    <col min="372" max="372" width="0" hidden="1" customWidth="1"/>
    <col min="373" max="16384" width="11" hidden="1"/>
  </cols>
  <sheetData>
    <row r="1" spans="1:372" s="69" customFormat="1" ht="7.5" customHeight="1" x14ac:dyDescent="0.2">
      <c r="C1" s="70"/>
      <c r="D1" s="71"/>
      <c r="E1" s="70"/>
      <c r="G1" s="69">
        <f>+IFERROR(VLOOKUP(G3,nolaborales[[#All],[Fecha Presente]],1,FALSE),IF(AND(LIQUIDACIÓN!$B$1=1,OR(WEEKDAY(CALENDARIO!G3,2)=6,WEEKDAY(CALENDARIO!G3,2)=7)),1,IF(AND(LIQUIDACIÓN!$B$1=11,WEEKDAY(CALENDARIO!G3,2)=7),1,0)))</f>
        <v>44197</v>
      </c>
      <c r="H1" s="69">
        <f>+IFERROR(VLOOKUP(H3,nolaborales[[#All],[Fecha Presente]],1,FALSE),IF(AND(LIQUIDACIÓN!$B$1=1,OR(WEEKDAY(CALENDARIO!H3,2)=6,WEEKDAY(CALENDARIO!H3,2)=7)),1,IF(AND(LIQUIDACIÓN!$B$1=11,WEEKDAY(CALENDARIO!H3,2)=7),1,0)))</f>
        <v>1</v>
      </c>
      <c r="I1" s="69">
        <f>+IFERROR(VLOOKUP(I3,nolaborales[[#All],[Fecha Presente]],1,FALSE),IF(AND(LIQUIDACIÓN!$B$1=1,OR(WEEKDAY(CALENDARIO!I3,2)=6,WEEKDAY(CALENDARIO!I3,2)=7)),1,IF(AND(LIQUIDACIÓN!$B$1=11,WEEKDAY(CALENDARIO!I3,2)=7),1,0)))</f>
        <v>1</v>
      </c>
      <c r="J1" s="69">
        <f>+IFERROR(VLOOKUP(J3,nolaborales[[#All],[Fecha Presente]],1,FALSE),IF(AND(LIQUIDACIÓN!$B$1=1,OR(WEEKDAY(CALENDARIO!J3,2)=6,WEEKDAY(CALENDARIO!J3,2)=7)),1,IF(AND(LIQUIDACIÓN!$B$1=11,WEEKDAY(CALENDARIO!J3,2)=7),1,0)))</f>
        <v>0</v>
      </c>
      <c r="K1" s="69">
        <f>+IFERROR(VLOOKUP(K3,nolaborales[[#All],[Fecha Presente]],1,FALSE),IF(AND(LIQUIDACIÓN!$B$1=1,OR(WEEKDAY(CALENDARIO!K3,2)=6,WEEKDAY(CALENDARIO!K3,2)=7)),1,IF(AND(LIQUIDACIÓN!$B$1=11,WEEKDAY(CALENDARIO!K3,2)=7),1,0)))</f>
        <v>0</v>
      </c>
      <c r="L1" s="69">
        <f>+IFERROR(VLOOKUP(L3,nolaborales[[#All],[Fecha Presente]],1,FALSE),IF(AND(LIQUIDACIÓN!$B$1=1,OR(WEEKDAY(CALENDARIO!L3,2)=6,WEEKDAY(CALENDARIO!L3,2)=7)),1,IF(AND(LIQUIDACIÓN!$B$1=11,WEEKDAY(CALENDARIO!L3,2)=7),1,0)))</f>
        <v>44202</v>
      </c>
      <c r="M1" s="69">
        <f>+IFERROR(VLOOKUP(M3,nolaborales[[#All],[Fecha Presente]],1,FALSE),IF(AND(LIQUIDACIÓN!$B$1=1,OR(WEEKDAY(CALENDARIO!M3,2)=6,WEEKDAY(CALENDARIO!M3,2)=7)),1,IF(AND(LIQUIDACIÓN!$B$1=11,WEEKDAY(CALENDARIO!M3,2)=7),1,0)))</f>
        <v>0</v>
      </c>
      <c r="N1" s="69">
        <f>+IFERROR(VLOOKUP(N3,nolaborales[[#All],[Fecha Presente]],1,FALSE),IF(AND(LIQUIDACIÓN!$B$1=1,OR(WEEKDAY(CALENDARIO!N3,2)=6,WEEKDAY(CALENDARIO!N3,2)=7)),1,IF(AND(LIQUIDACIÓN!$B$1=11,WEEKDAY(CALENDARIO!N3,2)=7),1,0)))</f>
        <v>0</v>
      </c>
      <c r="O1" s="69">
        <f>+IFERROR(VLOOKUP(O3,nolaborales[[#All],[Fecha Presente]],1,FALSE),IF(AND(LIQUIDACIÓN!$B$1=1,OR(WEEKDAY(CALENDARIO!O3,2)=6,WEEKDAY(CALENDARIO!O3,2)=7)),1,IF(AND(LIQUIDACIÓN!$B$1=11,WEEKDAY(CALENDARIO!O3,2)=7),1,0)))</f>
        <v>1</v>
      </c>
      <c r="P1" s="69">
        <f>+IFERROR(VLOOKUP(P3,nolaborales[[#All],[Fecha Presente]],1,FALSE),IF(AND(LIQUIDACIÓN!$B$1=1,OR(WEEKDAY(CALENDARIO!P3,2)=6,WEEKDAY(CALENDARIO!P3,2)=7)),1,IF(AND(LIQUIDACIÓN!$B$1=11,WEEKDAY(CALENDARIO!P3,2)=7),1,0)))</f>
        <v>1</v>
      </c>
      <c r="Q1" s="69">
        <f>+IFERROR(VLOOKUP(Q3,nolaborales[[#All],[Fecha Presente]],1,FALSE),IF(AND(LIQUIDACIÓN!$B$1=1,OR(WEEKDAY(CALENDARIO!Q3,2)=6,WEEKDAY(CALENDARIO!Q3,2)=7)),1,IF(AND(LIQUIDACIÓN!$B$1=11,WEEKDAY(CALENDARIO!Q3,2)=7),1,0)))</f>
        <v>0</v>
      </c>
      <c r="R1" s="69">
        <f>+IFERROR(VLOOKUP(R3,nolaborales[[#All],[Fecha Presente]],1,FALSE),IF(AND(LIQUIDACIÓN!$B$1=1,OR(WEEKDAY(CALENDARIO!R3,2)=6,WEEKDAY(CALENDARIO!R3,2)=7)),1,IF(AND(LIQUIDACIÓN!$B$1=11,WEEKDAY(CALENDARIO!R3,2)=7),1,0)))</f>
        <v>0</v>
      </c>
      <c r="S1" s="69">
        <f>+IFERROR(VLOOKUP(S3,nolaborales[[#All],[Fecha Presente]],1,FALSE),IF(AND(LIQUIDACIÓN!$B$1=1,OR(WEEKDAY(CALENDARIO!S3,2)=6,WEEKDAY(CALENDARIO!S3,2)=7)),1,IF(AND(LIQUIDACIÓN!$B$1=11,WEEKDAY(CALENDARIO!S3,2)=7),1,0)))</f>
        <v>0</v>
      </c>
      <c r="T1" s="69">
        <f>+IFERROR(VLOOKUP(T3,nolaborales[[#All],[Fecha Presente]],1,FALSE),IF(AND(LIQUIDACIÓN!$B$1=1,OR(WEEKDAY(CALENDARIO!T3,2)=6,WEEKDAY(CALENDARIO!T3,2)=7)),1,IF(AND(LIQUIDACIÓN!$B$1=11,WEEKDAY(CALENDARIO!T3,2)=7),1,0)))</f>
        <v>0</v>
      </c>
      <c r="U1" s="69">
        <f>+IFERROR(VLOOKUP(U3,nolaborales[[#All],[Fecha Presente]],1,FALSE),IF(AND(LIQUIDACIÓN!$B$1=1,OR(WEEKDAY(CALENDARIO!U3,2)=6,WEEKDAY(CALENDARIO!U3,2)=7)),1,IF(AND(LIQUIDACIÓN!$B$1=11,WEEKDAY(CALENDARIO!U3,2)=7),1,0)))</f>
        <v>44211</v>
      </c>
      <c r="V1" s="69">
        <f>+IFERROR(VLOOKUP(V3,nolaborales[[#All],[Fecha Presente]],1,FALSE),IF(AND(LIQUIDACIÓN!$B$1=1,OR(WEEKDAY(CALENDARIO!V3,2)=6,WEEKDAY(CALENDARIO!V3,2)=7)),1,IF(AND(LIQUIDACIÓN!$B$1=11,WEEKDAY(CALENDARIO!V3,2)=7),1,0)))</f>
        <v>1</v>
      </c>
      <c r="W1" s="69">
        <f>+IFERROR(VLOOKUP(W3,nolaborales[[#All],[Fecha Presente]],1,FALSE),IF(AND(LIQUIDACIÓN!$B$1=1,OR(WEEKDAY(CALENDARIO!W3,2)=6,WEEKDAY(CALENDARIO!W3,2)=7)),1,IF(AND(LIQUIDACIÓN!$B$1=11,WEEKDAY(CALENDARIO!W3,2)=7),1,0)))</f>
        <v>1</v>
      </c>
      <c r="X1" s="69">
        <f>+IFERROR(VLOOKUP(X3,nolaborales[[#All],[Fecha Presente]],1,FALSE),IF(AND(LIQUIDACIÓN!$B$1=1,OR(WEEKDAY(CALENDARIO!X3,2)=6,WEEKDAY(CALENDARIO!X3,2)=7)),1,IF(AND(LIQUIDACIÓN!$B$1=11,WEEKDAY(CALENDARIO!X3,2)=7),1,0)))</f>
        <v>0</v>
      </c>
      <c r="Y1" s="69">
        <f>+IFERROR(VLOOKUP(Y3,nolaborales[[#All],[Fecha Presente]],1,FALSE),IF(AND(LIQUIDACIÓN!$B$1=1,OR(WEEKDAY(CALENDARIO!Y3,2)=6,WEEKDAY(CALENDARIO!Y3,2)=7)),1,IF(AND(LIQUIDACIÓN!$B$1=11,WEEKDAY(CALENDARIO!Y3,2)=7),1,0)))</f>
        <v>0</v>
      </c>
      <c r="Z1" s="69">
        <f>+IFERROR(VLOOKUP(Z3,nolaborales[[#All],[Fecha Presente]],1,FALSE),IF(AND(LIQUIDACIÓN!$B$1=1,OR(WEEKDAY(CALENDARIO!Z3,2)=6,WEEKDAY(CALENDARIO!Z3,2)=7)),1,IF(AND(LIQUIDACIÓN!$B$1=11,WEEKDAY(CALENDARIO!Z3,2)=7),1,0)))</f>
        <v>0</v>
      </c>
      <c r="AA1" s="69">
        <f>+IFERROR(VLOOKUP(AA3,nolaborales[[#All],[Fecha Presente]],1,FALSE),IF(AND(LIQUIDACIÓN!$B$1=1,OR(WEEKDAY(CALENDARIO!AA3,2)=6,WEEKDAY(CALENDARIO!AA3,2)=7)),1,IF(AND(LIQUIDACIÓN!$B$1=11,WEEKDAY(CALENDARIO!AA3,2)=7),1,0)))</f>
        <v>0</v>
      </c>
      <c r="AB1" s="69">
        <f>+IFERROR(VLOOKUP(AB3,nolaborales[[#All],[Fecha Presente]],1,FALSE),IF(AND(LIQUIDACIÓN!$B$1=1,OR(WEEKDAY(CALENDARIO!AB3,2)=6,WEEKDAY(CALENDARIO!AB3,2)=7)),1,IF(AND(LIQUIDACIÓN!$B$1=11,WEEKDAY(CALENDARIO!AB3,2)=7),1,0)))</f>
        <v>0</v>
      </c>
      <c r="AC1" s="69">
        <f>+IFERROR(VLOOKUP(AC3,nolaborales[[#All],[Fecha Presente]],1,FALSE),IF(AND(LIQUIDACIÓN!$B$1=1,OR(WEEKDAY(CALENDARIO!AC3,2)=6,WEEKDAY(CALENDARIO!AC3,2)=7)),1,IF(AND(LIQUIDACIÓN!$B$1=11,WEEKDAY(CALENDARIO!AC3,2)=7),1,0)))</f>
        <v>1</v>
      </c>
      <c r="AD1" s="69">
        <f>+IFERROR(VLOOKUP(AD3,nolaborales[[#All],[Fecha Presente]],1,FALSE),IF(AND(LIQUIDACIÓN!$B$1=1,OR(WEEKDAY(CALENDARIO!AD3,2)=6,WEEKDAY(CALENDARIO!AD3,2)=7)),1,IF(AND(LIQUIDACIÓN!$B$1=11,WEEKDAY(CALENDARIO!AD3,2)=7),1,0)))</f>
        <v>1</v>
      </c>
      <c r="AE1" s="69">
        <f>+IFERROR(VLOOKUP(AE3,nolaborales[[#All],[Fecha Presente]],1,FALSE),IF(AND(LIQUIDACIÓN!$B$1=1,OR(WEEKDAY(CALENDARIO!AE3,2)=6,WEEKDAY(CALENDARIO!AE3,2)=7)),1,IF(AND(LIQUIDACIÓN!$B$1=11,WEEKDAY(CALENDARIO!AE3,2)=7),1,0)))</f>
        <v>0</v>
      </c>
      <c r="AF1" s="69">
        <f>+IFERROR(VLOOKUP(AF3,nolaborales[[#All],[Fecha Presente]],1,FALSE),IF(AND(LIQUIDACIÓN!$B$1=1,OR(WEEKDAY(CALENDARIO!AF3,2)=6,WEEKDAY(CALENDARIO!AF3,2)=7)),1,IF(AND(LIQUIDACIÓN!$B$1=11,WEEKDAY(CALENDARIO!AF3,2)=7),1,0)))</f>
        <v>0</v>
      </c>
      <c r="AG1" s="69">
        <f>+IFERROR(VLOOKUP(AG3,nolaborales[[#All],[Fecha Presente]],1,FALSE),IF(AND(LIQUIDACIÓN!$B$1=1,OR(WEEKDAY(CALENDARIO!AG3,2)=6,WEEKDAY(CALENDARIO!AG3,2)=7)),1,IF(AND(LIQUIDACIÓN!$B$1=11,WEEKDAY(CALENDARIO!AG3,2)=7),1,0)))</f>
        <v>0</v>
      </c>
      <c r="AH1" s="69">
        <f>+IFERROR(VLOOKUP(AH3,nolaborales[[#All],[Fecha Presente]],1,FALSE),IF(AND(LIQUIDACIÓN!$B$1=1,OR(WEEKDAY(CALENDARIO!AH3,2)=6,WEEKDAY(CALENDARIO!AH3,2)=7)),1,IF(AND(LIQUIDACIÓN!$B$1=11,WEEKDAY(CALENDARIO!AH3,2)=7),1,0)))</f>
        <v>0</v>
      </c>
      <c r="AI1" s="69">
        <f>+IFERROR(VLOOKUP(AI3,nolaborales[[#All],[Fecha Presente]],1,FALSE),IF(AND(LIQUIDACIÓN!$B$1=1,OR(WEEKDAY(CALENDARIO!AI3,2)=6,WEEKDAY(CALENDARIO!AI3,2)=7)),1,IF(AND(LIQUIDACIÓN!$B$1=11,WEEKDAY(CALENDARIO!AI3,2)=7),1,0)))</f>
        <v>0</v>
      </c>
      <c r="AJ1" s="69">
        <f>+IFERROR(VLOOKUP(AJ3,nolaborales[[#All],[Fecha Presente]],1,FALSE),IF(AND(LIQUIDACIÓN!$B$1=1,OR(WEEKDAY(CALENDARIO!AJ3,2)=6,WEEKDAY(CALENDARIO!AJ3,2)=7)),1,IF(AND(LIQUIDACIÓN!$B$1=11,WEEKDAY(CALENDARIO!AJ3,2)=7),1,0)))</f>
        <v>1</v>
      </c>
      <c r="AK1" s="69">
        <f>+IFERROR(VLOOKUP(AK3,nolaborales[[#All],[Fecha Presente]],1,FALSE),IF(AND(LIQUIDACIÓN!$B$1=1,OR(WEEKDAY(CALENDARIO!AK3,2)=6,WEEKDAY(CALENDARIO!AK3,2)=7)),1,IF(AND(LIQUIDACIÓN!$B$1=11,WEEKDAY(CALENDARIO!AK3,2)=7),1,0)))</f>
        <v>1</v>
      </c>
      <c r="AL1" s="69">
        <f>+IFERROR(VLOOKUP(AL3,nolaborales[[#All],[Fecha Presente]],1,FALSE),IF(AND(LIQUIDACIÓN!$B$1=1,OR(WEEKDAY(CALENDARIO!AL3,2)=6,WEEKDAY(CALENDARIO!AL3,2)=7)),1,IF(AND(LIQUIDACIÓN!$B$1=11,WEEKDAY(CALENDARIO!AL3,2)=7),1,0)))</f>
        <v>0</v>
      </c>
      <c r="AM1" s="69">
        <f>+IFERROR(VLOOKUP(AM3,nolaborales[[#All],[Fecha Presente]],1,FALSE),IF(AND(LIQUIDACIÓN!$B$1=1,OR(WEEKDAY(CALENDARIO!AM3,2)=6,WEEKDAY(CALENDARIO!AM3,2)=7)),1,IF(AND(LIQUIDACIÓN!$B$1=11,WEEKDAY(CALENDARIO!AM3,2)=7),1,0)))</f>
        <v>0</v>
      </c>
      <c r="AN1" s="69">
        <f>+IFERROR(VLOOKUP(AN3,nolaborales[[#All],[Fecha Presente]],1,FALSE),IF(AND(LIQUIDACIÓN!$B$1=1,OR(WEEKDAY(CALENDARIO!AN3,2)=6,WEEKDAY(CALENDARIO!AN3,2)=7)),1,IF(AND(LIQUIDACIÓN!$B$1=11,WEEKDAY(CALENDARIO!AN3,2)=7),1,0)))</f>
        <v>0</v>
      </c>
      <c r="AO1" s="69">
        <f>+IFERROR(VLOOKUP(AO3,nolaborales[[#All],[Fecha Presente]],1,FALSE),IF(AND(LIQUIDACIÓN!$B$1=1,OR(WEEKDAY(CALENDARIO!AO3,2)=6,WEEKDAY(CALENDARIO!AO3,2)=7)),1,IF(AND(LIQUIDACIÓN!$B$1=11,WEEKDAY(CALENDARIO!AO3,2)=7),1,0)))</f>
        <v>0</v>
      </c>
      <c r="AP1" s="69">
        <f>+IFERROR(VLOOKUP(AP3,nolaborales[[#All],[Fecha Presente]],1,FALSE),IF(AND(LIQUIDACIÓN!$B$1=1,OR(WEEKDAY(CALENDARIO!AP3,2)=6,WEEKDAY(CALENDARIO!AP3,2)=7)),1,IF(AND(LIQUIDACIÓN!$B$1=11,WEEKDAY(CALENDARIO!AP3,2)=7),1,0)))</f>
        <v>0</v>
      </c>
      <c r="AQ1" s="69">
        <f>+IFERROR(VLOOKUP(AQ3,nolaborales[[#All],[Fecha Presente]],1,FALSE),IF(AND(LIQUIDACIÓN!$B$1=1,OR(WEEKDAY(CALENDARIO!AQ3,2)=6,WEEKDAY(CALENDARIO!AQ3,2)=7)),1,IF(AND(LIQUIDACIÓN!$B$1=11,WEEKDAY(CALENDARIO!AQ3,2)=7),1,0)))</f>
        <v>1</v>
      </c>
      <c r="AR1" s="69">
        <f>+IFERROR(VLOOKUP(AR3,nolaborales[[#All],[Fecha Presente]],1,FALSE),IF(AND(LIQUIDACIÓN!$B$1=1,OR(WEEKDAY(CALENDARIO!AR3,2)=6,WEEKDAY(CALENDARIO!AR3,2)=7)),1,IF(AND(LIQUIDACIÓN!$B$1=11,WEEKDAY(CALENDARIO!AR3,2)=7),1,0)))</f>
        <v>1</v>
      </c>
      <c r="AS1" s="69">
        <f>+IFERROR(VLOOKUP(AS3,nolaborales[[#All],[Fecha Presente]],1,FALSE),IF(AND(LIQUIDACIÓN!$B$1=1,OR(WEEKDAY(CALENDARIO!AS3,2)=6,WEEKDAY(CALENDARIO!AS3,2)=7)),1,IF(AND(LIQUIDACIÓN!$B$1=11,WEEKDAY(CALENDARIO!AS3,2)=7),1,0)))</f>
        <v>0</v>
      </c>
      <c r="AT1" s="69">
        <f>+IFERROR(VLOOKUP(AT3,nolaborales[[#All],[Fecha Presente]],1,FALSE),IF(AND(LIQUIDACIÓN!$B$1=1,OR(WEEKDAY(CALENDARIO!AT3,2)=6,WEEKDAY(CALENDARIO!AT3,2)=7)),1,IF(AND(LIQUIDACIÓN!$B$1=11,WEEKDAY(CALENDARIO!AT3,2)=7),1,0)))</f>
        <v>0</v>
      </c>
      <c r="AU1" s="69">
        <f>+IFERROR(VLOOKUP(AU3,nolaborales[[#All],[Fecha Presente]],1,FALSE),IF(AND(LIQUIDACIÓN!$B$1=1,OR(WEEKDAY(CALENDARIO!AU3,2)=6,WEEKDAY(CALENDARIO!AU3,2)=7)),1,IF(AND(LIQUIDACIÓN!$B$1=11,WEEKDAY(CALENDARIO!AU3,2)=7),1,0)))</f>
        <v>0</v>
      </c>
      <c r="AV1" s="69">
        <f>+IFERROR(VLOOKUP(AV3,nolaborales[[#All],[Fecha Presente]],1,FALSE),IF(AND(LIQUIDACIÓN!$B$1=1,OR(WEEKDAY(CALENDARIO!AV3,2)=6,WEEKDAY(CALENDARIO!AV3,2)=7)),1,IF(AND(LIQUIDACIÓN!$B$1=11,WEEKDAY(CALENDARIO!AV3,2)=7),1,0)))</f>
        <v>0</v>
      </c>
      <c r="AW1" s="69">
        <f>+IFERROR(VLOOKUP(AW3,nolaborales[[#All],[Fecha Presente]],1,FALSE),IF(AND(LIQUIDACIÓN!$B$1=1,OR(WEEKDAY(CALENDARIO!AW3,2)=6,WEEKDAY(CALENDARIO!AW3,2)=7)),1,IF(AND(LIQUIDACIÓN!$B$1=11,WEEKDAY(CALENDARIO!AW3,2)=7),1,0)))</f>
        <v>0</v>
      </c>
      <c r="AX1" s="69">
        <f>+IFERROR(VLOOKUP(AX3,nolaborales[[#All],[Fecha Presente]],1,FALSE),IF(AND(LIQUIDACIÓN!$B$1=1,OR(WEEKDAY(CALENDARIO!AX3,2)=6,WEEKDAY(CALENDARIO!AX3,2)=7)),1,IF(AND(LIQUIDACIÓN!$B$1=11,WEEKDAY(CALENDARIO!AX3,2)=7),1,0)))</f>
        <v>1</v>
      </c>
      <c r="AY1" s="69">
        <f>+IFERROR(VLOOKUP(AY3,nolaborales[[#All],[Fecha Presente]],1,FALSE),IF(AND(LIQUIDACIÓN!$B$1=1,OR(WEEKDAY(CALENDARIO!AY3,2)=6,WEEKDAY(CALENDARIO!AY3,2)=7)),1,IF(AND(LIQUIDACIÓN!$B$1=11,WEEKDAY(CALENDARIO!AY3,2)=7),1,0)))</f>
        <v>1</v>
      </c>
      <c r="AZ1" s="69">
        <f>+IFERROR(VLOOKUP(AZ3,nolaborales[[#All],[Fecha Presente]],1,FALSE),IF(AND(LIQUIDACIÓN!$B$1=1,OR(WEEKDAY(CALENDARIO!AZ3,2)=6,WEEKDAY(CALENDARIO!AZ3,2)=7)),1,IF(AND(LIQUIDACIÓN!$B$1=11,WEEKDAY(CALENDARIO!AZ3,2)=7),1,0)))</f>
        <v>0</v>
      </c>
      <c r="BA1" s="69">
        <f>+IFERROR(VLOOKUP(BA3,nolaborales[[#All],[Fecha Presente]],1,FALSE),IF(AND(LIQUIDACIÓN!$B$1=1,OR(WEEKDAY(CALENDARIO!BA3,2)=6,WEEKDAY(CALENDARIO!BA3,2)=7)),1,IF(AND(LIQUIDACIÓN!$B$1=11,WEEKDAY(CALENDARIO!BA3,2)=7),1,0)))</f>
        <v>0</v>
      </c>
      <c r="BB1" s="69">
        <f>+IFERROR(VLOOKUP(BB3,nolaborales[[#All],[Fecha Presente]],1,FALSE),IF(AND(LIQUIDACIÓN!$B$1=1,OR(WEEKDAY(CALENDARIO!BB3,2)=6,WEEKDAY(CALENDARIO!BB3,2)=7)),1,IF(AND(LIQUIDACIÓN!$B$1=11,WEEKDAY(CALENDARIO!BB3,2)=7),1,0)))</f>
        <v>0</v>
      </c>
      <c r="BC1" s="69">
        <f>+IFERROR(VLOOKUP(BC3,nolaborales[[#All],[Fecha Presente]],1,FALSE),IF(AND(LIQUIDACIÓN!$B$1=1,OR(WEEKDAY(CALENDARIO!BC3,2)=6,WEEKDAY(CALENDARIO!BC3,2)=7)),1,IF(AND(LIQUIDACIÓN!$B$1=11,WEEKDAY(CALENDARIO!BC3,2)=7),1,0)))</f>
        <v>0</v>
      </c>
      <c r="BD1" s="69">
        <f>+IFERROR(VLOOKUP(BD3,nolaborales[[#All],[Fecha Presente]],1,FALSE),IF(AND(LIQUIDACIÓN!$B$1=1,OR(WEEKDAY(CALENDARIO!BD3,2)=6,WEEKDAY(CALENDARIO!BD3,2)=7)),1,IF(AND(LIQUIDACIÓN!$B$1=11,WEEKDAY(CALENDARIO!BD3,2)=7),1,0)))</f>
        <v>0</v>
      </c>
      <c r="BE1" s="69">
        <f>+IFERROR(VLOOKUP(BE3,nolaborales[[#All],[Fecha Presente]],1,FALSE),IF(AND(LIQUIDACIÓN!$B$1=1,OR(WEEKDAY(CALENDARIO!BE3,2)=6,WEEKDAY(CALENDARIO!BE3,2)=7)),1,IF(AND(LIQUIDACIÓN!$B$1=11,WEEKDAY(CALENDARIO!BE3,2)=7),1,0)))</f>
        <v>1</v>
      </c>
      <c r="BF1" s="69">
        <f>+IFERROR(VLOOKUP(BF3,nolaborales[[#All],[Fecha Presente]],1,FALSE),IF(AND(LIQUIDACIÓN!$B$1=1,OR(WEEKDAY(CALENDARIO!BF3,2)=6,WEEKDAY(CALENDARIO!BF3,2)=7)),1,IF(AND(LIQUIDACIÓN!$B$1=11,WEEKDAY(CALENDARIO!BF3,2)=7),1,0)))</f>
        <v>1</v>
      </c>
      <c r="BG1" s="69">
        <f>+IFERROR(VLOOKUP(BG3,nolaborales[[#All],[Fecha Presente]],1,FALSE),IF(AND(LIQUIDACIÓN!$B$1=1,OR(WEEKDAY(CALENDARIO!BG3,2)=6,WEEKDAY(CALENDARIO!BG3,2)=7)),1,IF(AND(LIQUIDACIÓN!$B$1=11,WEEKDAY(CALENDARIO!BG3,2)=7),1,0)))</f>
        <v>0</v>
      </c>
      <c r="BH1" s="69">
        <f>+IFERROR(VLOOKUP(BH3,nolaborales[[#All],[Fecha Presente]],1,FALSE),IF(AND(LIQUIDACIÓN!$B$1=1,OR(WEEKDAY(CALENDARIO!BH3,2)=6,WEEKDAY(CALENDARIO!BH3,2)=7)),1,IF(AND(LIQUIDACIÓN!$B$1=11,WEEKDAY(CALENDARIO!BH3,2)=7),1,0)))</f>
        <v>0</v>
      </c>
      <c r="BI1" s="69">
        <f>+IFERROR(VLOOKUP(BI3,nolaborales[[#All],[Fecha Presente]],1,FALSE),IF(AND(LIQUIDACIÓN!$B$1=1,OR(WEEKDAY(CALENDARIO!BI3,2)=6,WEEKDAY(CALENDARIO!BI3,2)=7)),1,IF(AND(LIQUIDACIÓN!$B$1=11,WEEKDAY(CALENDARIO!BI3,2)=7),1,0)))</f>
        <v>0</v>
      </c>
      <c r="BJ1" s="69">
        <f>+IFERROR(VLOOKUP(BJ3,nolaborales[[#All],[Fecha Presente]],1,FALSE),IF(AND(LIQUIDACIÓN!$B$1=1,OR(WEEKDAY(CALENDARIO!BJ3,2)=6,WEEKDAY(CALENDARIO!BJ3,2)=7)),1,IF(AND(LIQUIDACIÓN!$B$1=11,WEEKDAY(CALENDARIO!BJ3,2)=7),1,0)))</f>
        <v>0</v>
      </c>
      <c r="BK1" s="69">
        <f>+IFERROR(VLOOKUP(BK3,nolaborales[[#All],[Fecha Presente]],1,FALSE),IF(AND(LIQUIDACIÓN!$B$1=1,OR(WEEKDAY(CALENDARIO!BK3,2)=6,WEEKDAY(CALENDARIO!BK3,2)=7)),1,IF(AND(LIQUIDACIÓN!$B$1=11,WEEKDAY(CALENDARIO!BK3,2)=7),1,0)))</f>
        <v>0</v>
      </c>
      <c r="BL1" s="69">
        <f>+IFERROR(VLOOKUP(BL3,nolaborales[[#All],[Fecha Presente]],1,FALSE),IF(AND(LIQUIDACIÓN!$B$1=1,OR(WEEKDAY(CALENDARIO!BL3,2)=6,WEEKDAY(CALENDARIO!BL3,2)=7)),1,IF(AND(LIQUIDACIÓN!$B$1=11,WEEKDAY(CALENDARIO!BL3,2)=7),1,0)))</f>
        <v>1</v>
      </c>
      <c r="BM1" s="69">
        <f>+IFERROR(VLOOKUP(BM3,nolaborales[[#All],[Fecha Presente]],1,FALSE),IF(AND(LIQUIDACIÓN!$B$1=1,OR(WEEKDAY(CALENDARIO!BM3,2)=6,WEEKDAY(CALENDARIO!BM3,2)=7)),1,IF(AND(LIQUIDACIÓN!$B$1=11,WEEKDAY(CALENDARIO!BM3,2)=7),1,0)))</f>
        <v>1</v>
      </c>
      <c r="BN1" s="69">
        <f>+IFERROR(VLOOKUP(BN3,nolaborales[[#All],[Fecha Presente]],1,FALSE),IF(AND(LIQUIDACIÓN!$B$1=1,OR(WEEKDAY(CALENDARIO!BN3,2)=6,WEEKDAY(CALENDARIO!BN3,2)=7)),1,IF(AND(LIQUIDACIÓN!$B$1=11,WEEKDAY(CALENDARIO!BN3,2)=7),1,0)))</f>
        <v>0</v>
      </c>
      <c r="BO1" s="69">
        <f>+IFERROR(VLOOKUP(BO3,nolaborales[[#All],[Fecha Presente]],1,FALSE),IF(AND(LIQUIDACIÓN!$B$1=1,OR(WEEKDAY(CALENDARIO!BO3,2)=6,WEEKDAY(CALENDARIO!BO3,2)=7)),1,IF(AND(LIQUIDACIÓN!$B$1=11,WEEKDAY(CALENDARIO!BO3,2)=7),1,0)))</f>
        <v>0</v>
      </c>
      <c r="BP1" s="69">
        <f>+IFERROR(VLOOKUP(BP3,nolaborales[[#All],[Fecha Presente]],1,FALSE),IF(AND(LIQUIDACIÓN!$B$1=1,OR(WEEKDAY(CALENDARIO!BP3,2)=6,WEEKDAY(CALENDARIO!BP3,2)=7)),1,IF(AND(LIQUIDACIÓN!$B$1=11,WEEKDAY(CALENDARIO!BP3,2)=7),1,0)))</f>
        <v>0</v>
      </c>
      <c r="BQ1" s="69">
        <f>+IFERROR(VLOOKUP(BQ3,nolaborales[[#All],[Fecha Presente]],1,FALSE),IF(AND(LIQUIDACIÓN!$B$1=1,OR(WEEKDAY(CALENDARIO!BQ3,2)=6,WEEKDAY(CALENDARIO!BQ3,2)=7)),1,IF(AND(LIQUIDACIÓN!$B$1=11,WEEKDAY(CALENDARIO!BQ3,2)=7),1,0)))</f>
        <v>0</v>
      </c>
      <c r="BR1" s="69">
        <f>+IFERROR(VLOOKUP(BR3,nolaborales[[#All],[Fecha Presente]],1,FALSE),IF(AND(LIQUIDACIÓN!$B$1=1,OR(WEEKDAY(CALENDARIO!BR3,2)=6,WEEKDAY(CALENDARIO!BR3,2)=7)),1,IF(AND(LIQUIDACIÓN!$B$1=11,WEEKDAY(CALENDARIO!BR3,2)=7),1,0)))</f>
        <v>0</v>
      </c>
      <c r="BS1" s="69">
        <f>+IFERROR(VLOOKUP(BS3,nolaborales[[#All],[Fecha Presente]],1,FALSE),IF(AND(LIQUIDACIÓN!$B$1=1,OR(WEEKDAY(CALENDARIO!BS3,2)=6,WEEKDAY(CALENDARIO!BS3,2)=7)),1,IF(AND(LIQUIDACIÓN!$B$1=11,WEEKDAY(CALENDARIO!BS3,2)=7),1,0)))</f>
        <v>1</v>
      </c>
      <c r="BT1" s="69">
        <f>+IFERROR(VLOOKUP(BT3,nolaborales[[#All],[Fecha Presente]],1,FALSE),IF(AND(LIQUIDACIÓN!$B$1=1,OR(WEEKDAY(CALENDARIO!BT3,2)=6,WEEKDAY(CALENDARIO!BT3,2)=7)),1,IF(AND(LIQUIDACIÓN!$B$1=11,WEEKDAY(CALENDARIO!BT3,2)=7),1,0)))</f>
        <v>1</v>
      </c>
      <c r="BU1" s="69">
        <f>+IFERROR(VLOOKUP(BU3,nolaborales[[#All],[Fecha Presente]],1,FALSE),IF(AND(LIQUIDACIÓN!$B$1=1,OR(WEEKDAY(CALENDARIO!BU3,2)=6,WEEKDAY(CALENDARIO!BU3,2)=7)),1,IF(AND(LIQUIDACIÓN!$B$1=11,WEEKDAY(CALENDARIO!BU3,2)=7),1,0)))</f>
        <v>0</v>
      </c>
      <c r="BV1" s="69">
        <f>+IFERROR(VLOOKUP(BV3,nolaborales[[#All],[Fecha Presente]],1,FALSE),IF(AND(LIQUIDACIÓN!$B$1=1,OR(WEEKDAY(CALENDARIO!BV3,2)=6,WEEKDAY(CALENDARIO!BV3,2)=7)),1,IF(AND(LIQUIDACIÓN!$B$1=11,WEEKDAY(CALENDARIO!BV3,2)=7),1,0)))</f>
        <v>0</v>
      </c>
      <c r="BW1" s="69">
        <f>+IFERROR(VLOOKUP(BW3,nolaborales[[#All],[Fecha Presente]],1,FALSE),IF(AND(LIQUIDACIÓN!$B$1=1,OR(WEEKDAY(CALENDARIO!BW3,2)=6,WEEKDAY(CALENDARIO!BW3,2)=7)),1,IF(AND(LIQUIDACIÓN!$B$1=11,WEEKDAY(CALENDARIO!BW3,2)=7),1,0)))</f>
        <v>0</v>
      </c>
      <c r="BX1" s="69">
        <f>+IFERROR(VLOOKUP(BX3,nolaborales[[#All],[Fecha Presente]],1,FALSE),IF(AND(LIQUIDACIÓN!$B$1=1,OR(WEEKDAY(CALENDARIO!BX3,2)=6,WEEKDAY(CALENDARIO!BX3,2)=7)),1,IF(AND(LIQUIDACIÓN!$B$1=11,WEEKDAY(CALENDARIO!BX3,2)=7),1,0)))</f>
        <v>0</v>
      </c>
      <c r="BY1" s="69">
        <f>+IFERROR(VLOOKUP(BY3,nolaborales[[#All],[Fecha Presente]],1,FALSE),IF(AND(LIQUIDACIÓN!$B$1=1,OR(WEEKDAY(CALENDARIO!BY3,2)=6,WEEKDAY(CALENDARIO!BY3,2)=7)),1,IF(AND(LIQUIDACIÓN!$B$1=11,WEEKDAY(CALENDARIO!BY3,2)=7),1,0)))</f>
        <v>0</v>
      </c>
      <c r="BZ1" s="69">
        <f>+IFERROR(VLOOKUP(BZ3,nolaborales[[#All],[Fecha Presente]],1,FALSE),IF(AND(LIQUIDACIÓN!$B$1=1,OR(WEEKDAY(CALENDARIO!BZ3,2)=6,WEEKDAY(CALENDARIO!BZ3,2)=7)),1,IF(AND(LIQUIDACIÓN!$B$1=11,WEEKDAY(CALENDARIO!BZ3,2)=7),1,0)))</f>
        <v>1</v>
      </c>
      <c r="CA1" s="69">
        <f>+IFERROR(VLOOKUP(CA3,nolaborales[[#All],[Fecha Presente]],1,FALSE),IF(AND(LIQUIDACIÓN!$B$1=1,OR(WEEKDAY(CALENDARIO!CA3,2)=6,WEEKDAY(CALENDARIO!CA3,2)=7)),1,IF(AND(LIQUIDACIÓN!$B$1=11,WEEKDAY(CALENDARIO!CA3,2)=7),1,0)))</f>
        <v>1</v>
      </c>
      <c r="CB1" s="69">
        <f>+IFERROR(VLOOKUP(CB3,nolaborales[[#All],[Fecha Presente]],1,FALSE),IF(AND(LIQUIDACIÓN!$B$1=1,OR(WEEKDAY(CALENDARIO!CB3,2)=6,WEEKDAY(CALENDARIO!CB3,2)=7)),1,IF(AND(LIQUIDACIÓN!$B$1=11,WEEKDAY(CALENDARIO!CB3,2)=7),1,0)))</f>
        <v>0</v>
      </c>
      <c r="CC1" s="69">
        <f>+IFERROR(VLOOKUP(CC3,nolaborales[[#All],[Fecha Presente]],1,FALSE),IF(AND(LIQUIDACIÓN!$B$1=1,OR(WEEKDAY(CALENDARIO!CC3,2)=6,WEEKDAY(CALENDARIO!CC3,2)=7)),1,IF(AND(LIQUIDACIÓN!$B$1=11,WEEKDAY(CALENDARIO!CC3,2)=7),1,0)))</f>
        <v>0</v>
      </c>
      <c r="CD1" s="69">
        <f>+IFERROR(VLOOKUP(CD3,nolaborales[[#All],[Fecha Presente]],1,FALSE),IF(AND(LIQUIDACIÓN!$B$1=1,OR(WEEKDAY(CALENDARIO!CD3,2)=6,WEEKDAY(CALENDARIO!CD3,2)=7)),1,IF(AND(LIQUIDACIÓN!$B$1=11,WEEKDAY(CALENDARIO!CD3,2)=7),1,0)))</f>
        <v>0</v>
      </c>
      <c r="CE1" s="69">
        <f>+IFERROR(VLOOKUP(CE3,nolaborales[[#All],[Fecha Presente]],1,FALSE),IF(AND(LIQUIDACIÓN!$B$1=1,OR(WEEKDAY(CALENDARIO!CE3,2)=6,WEEKDAY(CALENDARIO!CE3,2)=7)),1,IF(AND(LIQUIDACIÓN!$B$1=11,WEEKDAY(CALENDARIO!CE3,2)=7),1,0)))</f>
        <v>0</v>
      </c>
      <c r="CF1" s="69">
        <f>+IFERROR(VLOOKUP(CF3,nolaborales[[#All],[Fecha Presente]],1,FALSE),IF(AND(LIQUIDACIÓN!$B$1=1,OR(WEEKDAY(CALENDARIO!CF3,2)=6,WEEKDAY(CALENDARIO!CF3,2)=7)),1,IF(AND(LIQUIDACIÓN!$B$1=11,WEEKDAY(CALENDARIO!CF3,2)=7),1,0)))</f>
        <v>0</v>
      </c>
      <c r="CG1" s="69">
        <f>+IFERROR(VLOOKUP(CG3,nolaborales[[#All],[Fecha Presente]],1,FALSE),IF(AND(LIQUIDACIÓN!$B$1=1,OR(WEEKDAY(CALENDARIO!CG3,2)=6,WEEKDAY(CALENDARIO!CG3,2)=7)),1,IF(AND(LIQUIDACIÓN!$B$1=11,WEEKDAY(CALENDARIO!CG3,2)=7),1,0)))</f>
        <v>1</v>
      </c>
      <c r="CH1" s="69">
        <f>+IFERROR(VLOOKUP(CH3,nolaborales[[#All],[Fecha Presente]],1,FALSE),IF(AND(LIQUIDACIÓN!$B$1=1,OR(WEEKDAY(CALENDARIO!CH3,2)=6,WEEKDAY(CALENDARIO!CH3,2)=7)),1,IF(AND(LIQUIDACIÓN!$B$1=11,WEEKDAY(CALENDARIO!CH3,2)=7),1,0)))</f>
        <v>1</v>
      </c>
      <c r="CI1" s="69">
        <f>+IFERROR(VLOOKUP(CI3,nolaborales[[#All],[Fecha Presente]],1,FALSE),IF(AND(LIQUIDACIÓN!$B$1=1,OR(WEEKDAY(CALENDARIO!CI3,2)=6,WEEKDAY(CALENDARIO!CI3,2)=7)),1,IF(AND(LIQUIDACIÓN!$B$1=11,WEEKDAY(CALENDARIO!CI3,2)=7),1,0)))</f>
        <v>0</v>
      </c>
      <c r="CJ1" s="69">
        <f>+IFERROR(VLOOKUP(CJ3,nolaborales[[#All],[Fecha Presente]],1,FALSE),IF(AND(LIQUIDACIÓN!$B$1=1,OR(WEEKDAY(CALENDARIO!CJ3,2)=6,WEEKDAY(CALENDARIO!CJ3,2)=7)),1,IF(AND(LIQUIDACIÓN!$B$1=11,WEEKDAY(CALENDARIO!CJ3,2)=7),1,0)))</f>
        <v>0</v>
      </c>
      <c r="CK1" s="69">
        <f>+IFERROR(VLOOKUP(CK3,nolaborales[[#All],[Fecha Presente]],1,FALSE),IF(AND(LIQUIDACIÓN!$B$1=1,OR(WEEKDAY(CALENDARIO!CK3,2)=6,WEEKDAY(CALENDARIO!CK3,2)=7)),1,IF(AND(LIQUIDACIÓN!$B$1=11,WEEKDAY(CALENDARIO!CK3,2)=7),1,0)))</f>
        <v>0</v>
      </c>
      <c r="CL1" s="69">
        <f>+IFERROR(VLOOKUP(CL3,nolaborales[[#All],[Fecha Presente]],1,FALSE),IF(AND(LIQUIDACIÓN!$B$1=1,OR(WEEKDAY(CALENDARIO!CL3,2)=6,WEEKDAY(CALENDARIO!CL3,2)=7)),1,IF(AND(LIQUIDACIÓN!$B$1=11,WEEKDAY(CALENDARIO!CL3,2)=7),1,0)))</f>
        <v>0</v>
      </c>
      <c r="CM1" s="69">
        <f>+IFERROR(VLOOKUP(CM3,nolaborales[[#All],[Fecha Presente]],1,FALSE),IF(AND(LIQUIDACIÓN!$B$1=1,OR(WEEKDAY(CALENDARIO!CM3,2)=6,WEEKDAY(CALENDARIO!CM3,2)=7)),1,IF(AND(LIQUIDACIÓN!$B$1=11,WEEKDAY(CALENDARIO!CM3,2)=7),1,0)))</f>
        <v>0</v>
      </c>
      <c r="CN1" s="69">
        <f>+IFERROR(VLOOKUP(CN3,nolaborales[[#All],[Fecha Presente]],1,FALSE),IF(AND(LIQUIDACIÓN!$B$1=1,OR(WEEKDAY(CALENDARIO!CN3,2)=6,WEEKDAY(CALENDARIO!CN3,2)=7)),1,IF(AND(LIQUIDACIÓN!$B$1=11,WEEKDAY(CALENDARIO!CN3,2)=7),1,0)))</f>
        <v>1</v>
      </c>
      <c r="CO1" s="69">
        <f>+IFERROR(VLOOKUP(CO3,nolaborales[[#All],[Fecha Presente]],1,FALSE),IF(AND(LIQUIDACIÓN!$B$1=1,OR(WEEKDAY(CALENDARIO!CO3,2)=6,WEEKDAY(CALENDARIO!CO3,2)=7)),1,IF(AND(LIQUIDACIÓN!$B$1=11,WEEKDAY(CALENDARIO!CO3,2)=7),1,0)))</f>
        <v>1</v>
      </c>
      <c r="CP1" s="69">
        <f>+IFERROR(VLOOKUP(CP3,nolaborales[[#All],[Fecha Presente]],1,FALSE),IF(AND(LIQUIDACIÓN!$B$1=1,OR(WEEKDAY(CALENDARIO!CP3,2)=6,WEEKDAY(CALENDARIO!CP3,2)=7)),1,IF(AND(LIQUIDACIÓN!$B$1=11,WEEKDAY(CALENDARIO!CP3,2)=7),1,0)))</f>
        <v>0</v>
      </c>
      <c r="CQ1" s="69">
        <f>+IFERROR(VLOOKUP(CQ3,nolaborales[[#All],[Fecha Presente]],1,FALSE),IF(AND(LIQUIDACIÓN!$B$1=1,OR(WEEKDAY(CALENDARIO!CQ3,2)=6,WEEKDAY(CALENDARIO!CQ3,2)=7)),1,IF(AND(LIQUIDACIÓN!$B$1=11,WEEKDAY(CALENDARIO!CQ3,2)=7),1,0)))</f>
        <v>0</v>
      </c>
      <c r="CR1" s="69">
        <f>+IFERROR(VLOOKUP(CR3,nolaborales[[#All],[Fecha Presente]],1,FALSE),IF(AND(LIQUIDACIÓN!$B$1=1,OR(WEEKDAY(CALENDARIO!CR3,2)=6,WEEKDAY(CALENDARIO!CR3,2)=7)),1,IF(AND(LIQUIDACIÓN!$B$1=11,WEEKDAY(CALENDARIO!CR3,2)=7),1,0)))</f>
        <v>0</v>
      </c>
      <c r="CS1" s="69">
        <f>+IFERROR(VLOOKUP(CS3,nolaborales[[#All],[Fecha Presente]],1,FALSE),IF(AND(LIQUIDACIÓN!$B$1=1,OR(WEEKDAY(CALENDARIO!CS3,2)=6,WEEKDAY(CALENDARIO!CS3,2)=7)),1,IF(AND(LIQUIDACIÓN!$B$1=11,WEEKDAY(CALENDARIO!CS3,2)=7),1,0)))</f>
        <v>44287</v>
      </c>
      <c r="CT1" s="69">
        <f>+IFERROR(VLOOKUP(CT3,nolaborales[[#All],[Fecha Presente]],1,FALSE),IF(AND(LIQUIDACIÓN!$B$1=1,OR(WEEKDAY(CALENDARIO!CT3,2)=6,WEEKDAY(CALENDARIO!CT3,2)=7)),1,IF(AND(LIQUIDACIÓN!$B$1=11,WEEKDAY(CALENDARIO!CT3,2)=7),1,0)))</f>
        <v>44288</v>
      </c>
      <c r="CU1" s="69">
        <f>+IFERROR(VLOOKUP(CU3,nolaborales[[#All],[Fecha Presente]],1,FALSE),IF(AND(LIQUIDACIÓN!$B$1=1,OR(WEEKDAY(CALENDARIO!CU3,2)=6,WEEKDAY(CALENDARIO!CU3,2)=7)),1,IF(AND(LIQUIDACIÓN!$B$1=11,WEEKDAY(CALENDARIO!CU3,2)=7),1,0)))</f>
        <v>1</v>
      </c>
      <c r="CV1" s="69">
        <f>+IFERROR(VLOOKUP(CV3,nolaborales[[#All],[Fecha Presente]],1,FALSE),IF(AND(LIQUIDACIÓN!$B$1=1,OR(WEEKDAY(CALENDARIO!CV3,2)=6,WEEKDAY(CALENDARIO!CV3,2)=7)),1,IF(AND(LIQUIDACIÓN!$B$1=11,WEEKDAY(CALENDARIO!CV3,2)=7),1,0)))</f>
        <v>1</v>
      </c>
      <c r="CW1" s="69">
        <f>+IFERROR(VLOOKUP(CW3,nolaborales[[#All],[Fecha Presente]],1,FALSE),IF(AND(LIQUIDACIÓN!$B$1=1,OR(WEEKDAY(CALENDARIO!CW3,2)=6,WEEKDAY(CALENDARIO!CW3,2)=7)),1,IF(AND(LIQUIDACIÓN!$B$1=11,WEEKDAY(CALENDARIO!CW3,2)=7),1,0)))</f>
        <v>0</v>
      </c>
      <c r="CX1" s="69">
        <f>+IFERROR(VLOOKUP(CX3,nolaborales[[#All],[Fecha Presente]],1,FALSE),IF(AND(LIQUIDACIÓN!$B$1=1,OR(WEEKDAY(CALENDARIO!CX3,2)=6,WEEKDAY(CALENDARIO!CX3,2)=7)),1,IF(AND(LIQUIDACIÓN!$B$1=11,WEEKDAY(CALENDARIO!CX3,2)=7),1,0)))</f>
        <v>0</v>
      </c>
      <c r="CY1" s="69">
        <f>+IFERROR(VLOOKUP(CY3,nolaborales[[#All],[Fecha Presente]],1,FALSE),IF(AND(LIQUIDACIÓN!$B$1=1,OR(WEEKDAY(CALENDARIO!CY3,2)=6,WEEKDAY(CALENDARIO!CY3,2)=7)),1,IF(AND(LIQUIDACIÓN!$B$1=11,WEEKDAY(CALENDARIO!CY3,2)=7),1,0)))</f>
        <v>0</v>
      </c>
      <c r="CZ1" s="69">
        <f>+IFERROR(VLOOKUP(CZ3,nolaborales[[#All],[Fecha Presente]],1,FALSE),IF(AND(LIQUIDACIÓN!$B$1=1,OR(WEEKDAY(CALENDARIO!CZ3,2)=6,WEEKDAY(CALENDARIO!CZ3,2)=7)),1,IF(AND(LIQUIDACIÓN!$B$1=11,WEEKDAY(CALENDARIO!CZ3,2)=7),1,0)))</f>
        <v>0</v>
      </c>
      <c r="DA1" s="69">
        <f>+IFERROR(VLOOKUP(DA3,nolaborales[[#All],[Fecha Presente]],1,FALSE),IF(AND(LIQUIDACIÓN!$B$1=1,OR(WEEKDAY(CALENDARIO!DA3,2)=6,WEEKDAY(CALENDARIO!DA3,2)=7)),1,IF(AND(LIQUIDACIÓN!$B$1=11,WEEKDAY(CALENDARIO!DA3,2)=7),1,0)))</f>
        <v>0</v>
      </c>
      <c r="DB1" s="69">
        <f>+IFERROR(VLOOKUP(DB3,nolaborales[[#All],[Fecha Presente]],1,FALSE),IF(AND(LIQUIDACIÓN!$B$1=1,OR(WEEKDAY(CALENDARIO!DB3,2)=6,WEEKDAY(CALENDARIO!DB3,2)=7)),1,IF(AND(LIQUIDACIÓN!$B$1=11,WEEKDAY(CALENDARIO!DB3,2)=7),1,0)))</f>
        <v>1</v>
      </c>
      <c r="DC1" s="69">
        <f>+IFERROR(VLOOKUP(DC3,nolaborales[[#All],[Fecha Presente]],1,FALSE),IF(AND(LIQUIDACIÓN!$B$1=1,OR(WEEKDAY(CALENDARIO!DC3,2)=6,WEEKDAY(CALENDARIO!DC3,2)=7)),1,IF(AND(LIQUIDACIÓN!$B$1=11,WEEKDAY(CALENDARIO!DC3,2)=7),1,0)))</f>
        <v>1</v>
      </c>
      <c r="DD1" s="69">
        <f>+IFERROR(VLOOKUP(DD3,nolaborales[[#All],[Fecha Presente]],1,FALSE),IF(AND(LIQUIDACIÓN!$B$1=1,OR(WEEKDAY(CALENDARIO!DD3,2)=6,WEEKDAY(CALENDARIO!DD3,2)=7)),1,IF(AND(LIQUIDACIÓN!$B$1=11,WEEKDAY(CALENDARIO!DD3,2)=7),1,0)))</f>
        <v>0</v>
      </c>
      <c r="DE1" s="69">
        <f>+IFERROR(VLOOKUP(DE3,nolaborales[[#All],[Fecha Presente]],1,FALSE),IF(AND(LIQUIDACIÓN!$B$1=1,OR(WEEKDAY(CALENDARIO!DE3,2)=6,WEEKDAY(CALENDARIO!DE3,2)=7)),1,IF(AND(LIQUIDACIÓN!$B$1=11,WEEKDAY(CALENDARIO!DE3,2)=7),1,0)))</f>
        <v>0</v>
      </c>
      <c r="DF1" s="69">
        <f>+IFERROR(VLOOKUP(DF3,nolaborales[[#All],[Fecha Presente]],1,FALSE),IF(AND(LIQUIDACIÓN!$B$1=1,OR(WEEKDAY(CALENDARIO!DF3,2)=6,WEEKDAY(CALENDARIO!DF3,2)=7)),1,IF(AND(LIQUIDACIÓN!$B$1=11,WEEKDAY(CALENDARIO!DF3,2)=7),1,0)))</f>
        <v>0</v>
      </c>
      <c r="DG1" s="69">
        <f>+IFERROR(VLOOKUP(DG3,nolaborales[[#All],[Fecha Presente]],1,FALSE),IF(AND(LIQUIDACIÓN!$B$1=1,OR(WEEKDAY(CALENDARIO!DG3,2)=6,WEEKDAY(CALENDARIO!DG3,2)=7)),1,IF(AND(LIQUIDACIÓN!$B$1=11,WEEKDAY(CALENDARIO!DG3,2)=7),1,0)))</f>
        <v>0</v>
      </c>
      <c r="DH1" s="69">
        <f>+IFERROR(VLOOKUP(DH3,nolaborales[[#All],[Fecha Presente]],1,FALSE),IF(AND(LIQUIDACIÓN!$B$1=1,OR(WEEKDAY(CALENDARIO!DH3,2)=6,WEEKDAY(CALENDARIO!DH3,2)=7)),1,IF(AND(LIQUIDACIÓN!$B$1=11,WEEKDAY(CALENDARIO!DH3,2)=7),1,0)))</f>
        <v>0</v>
      </c>
      <c r="DI1" s="69">
        <f>+IFERROR(VLOOKUP(DI3,nolaborales[[#All],[Fecha Presente]],1,FALSE),IF(AND(LIQUIDACIÓN!$B$1=1,OR(WEEKDAY(CALENDARIO!DI3,2)=6,WEEKDAY(CALENDARIO!DI3,2)=7)),1,IF(AND(LIQUIDACIÓN!$B$1=11,WEEKDAY(CALENDARIO!DI3,2)=7),1,0)))</f>
        <v>1</v>
      </c>
      <c r="DJ1" s="69">
        <f>+IFERROR(VLOOKUP(DJ3,nolaborales[[#All],[Fecha Presente]],1,FALSE),IF(AND(LIQUIDACIÓN!$B$1=1,OR(WEEKDAY(CALENDARIO!DJ3,2)=6,WEEKDAY(CALENDARIO!DJ3,2)=7)),1,IF(AND(LIQUIDACIÓN!$B$1=11,WEEKDAY(CALENDARIO!DJ3,2)=7),1,0)))</f>
        <v>1</v>
      </c>
      <c r="DK1" s="69">
        <f>+IFERROR(VLOOKUP(DK3,nolaborales[[#All],[Fecha Presente]],1,FALSE),IF(AND(LIQUIDACIÓN!$B$1=1,OR(WEEKDAY(CALENDARIO!DK3,2)=6,WEEKDAY(CALENDARIO!DK3,2)=7)),1,IF(AND(LIQUIDACIÓN!$B$1=11,WEEKDAY(CALENDARIO!DK3,2)=7),1,0)))</f>
        <v>0</v>
      </c>
      <c r="DL1" s="69">
        <f>+IFERROR(VLOOKUP(DL3,nolaborales[[#All],[Fecha Presente]],1,FALSE),IF(AND(LIQUIDACIÓN!$B$1=1,OR(WEEKDAY(CALENDARIO!DL3,2)=6,WEEKDAY(CALENDARIO!DL3,2)=7)),1,IF(AND(LIQUIDACIÓN!$B$1=11,WEEKDAY(CALENDARIO!DL3,2)=7),1,0)))</f>
        <v>0</v>
      </c>
      <c r="DM1" s="69">
        <f>+IFERROR(VLOOKUP(DM3,nolaborales[[#All],[Fecha Presente]],1,FALSE),IF(AND(LIQUIDACIÓN!$B$1=1,OR(WEEKDAY(CALENDARIO!DM3,2)=6,WEEKDAY(CALENDARIO!DM3,2)=7)),1,IF(AND(LIQUIDACIÓN!$B$1=11,WEEKDAY(CALENDARIO!DM3,2)=7),1,0)))</f>
        <v>0</v>
      </c>
      <c r="DN1" s="69">
        <f>+IFERROR(VLOOKUP(DN3,nolaborales[[#All],[Fecha Presente]],1,FALSE),IF(AND(LIQUIDACIÓN!$B$1=1,OR(WEEKDAY(CALENDARIO!DN3,2)=6,WEEKDAY(CALENDARIO!DN3,2)=7)),1,IF(AND(LIQUIDACIÓN!$B$1=11,WEEKDAY(CALENDARIO!DN3,2)=7),1,0)))</f>
        <v>0</v>
      </c>
      <c r="DO1" s="69">
        <f>+IFERROR(VLOOKUP(DO3,nolaborales[[#All],[Fecha Presente]],1,FALSE),IF(AND(LIQUIDACIÓN!$B$1=1,OR(WEEKDAY(CALENDARIO!DO3,2)=6,WEEKDAY(CALENDARIO!DO3,2)=7)),1,IF(AND(LIQUIDACIÓN!$B$1=11,WEEKDAY(CALENDARIO!DO3,2)=7),1,0)))</f>
        <v>0</v>
      </c>
      <c r="DP1" s="69">
        <f>+IFERROR(VLOOKUP(DP3,nolaborales[[#All],[Fecha Presente]],1,FALSE),IF(AND(LIQUIDACIÓN!$B$1=1,OR(WEEKDAY(CALENDARIO!DP3,2)=6,WEEKDAY(CALENDARIO!DP3,2)=7)),1,IF(AND(LIQUIDACIÓN!$B$1=11,WEEKDAY(CALENDARIO!DP3,2)=7),1,0)))</f>
        <v>1</v>
      </c>
      <c r="DQ1" s="69">
        <f>+IFERROR(VLOOKUP(DQ3,nolaborales[[#All],[Fecha Presente]],1,FALSE),IF(AND(LIQUIDACIÓN!$B$1=1,OR(WEEKDAY(CALENDARIO!DQ3,2)=6,WEEKDAY(CALENDARIO!DQ3,2)=7)),1,IF(AND(LIQUIDACIÓN!$B$1=11,WEEKDAY(CALENDARIO!DQ3,2)=7),1,0)))</f>
        <v>1</v>
      </c>
      <c r="DR1" s="69">
        <f>+IFERROR(VLOOKUP(DR3,nolaborales[[#All],[Fecha Presente]],1,FALSE),IF(AND(LIQUIDACIÓN!$B$1=1,OR(WEEKDAY(CALENDARIO!DR3,2)=6,WEEKDAY(CALENDARIO!DR3,2)=7)),1,IF(AND(LIQUIDACIÓN!$B$1=11,WEEKDAY(CALENDARIO!DR3,2)=7),1,0)))</f>
        <v>0</v>
      </c>
      <c r="DS1" s="69">
        <f>+IFERROR(VLOOKUP(DS3,nolaborales[[#All],[Fecha Presente]],1,FALSE),IF(AND(LIQUIDACIÓN!$B$1=1,OR(WEEKDAY(CALENDARIO!DS3,2)=6,WEEKDAY(CALENDARIO!DS3,2)=7)),1,IF(AND(LIQUIDACIÓN!$B$1=11,WEEKDAY(CALENDARIO!DS3,2)=7),1,0)))</f>
        <v>0</v>
      </c>
      <c r="DT1" s="69">
        <f>+IFERROR(VLOOKUP(DT3,nolaborales[[#All],[Fecha Presente]],1,FALSE),IF(AND(LIQUIDACIÓN!$B$1=1,OR(WEEKDAY(CALENDARIO!DT3,2)=6,WEEKDAY(CALENDARIO!DT3,2)=7)),1,IF(AND(LIQUIDACIÓN!$B$1=11,WEEKDAY(CALENDARIO!DT3,2)=7),1,0)))</f>
        <v>0</v>
      </c>
      <c r="DU1" s="69">
        <f>+IFERROR(VLOOKUP(DU3,nolaborales[[#All],[Fecha Presente]],1,FALSE),IF(AND(LIQUIDACIÓN!$B$1=1,OR(WEEKDAY(CALENDARIO!DU3,2)=6,WEEKDAY(CALENDARIO!DU3,2)=7)),1,IF(AND(LIQUIDACIÓN!$B$1=11,WEEKDAY(CALENDARIO!DU3,2)=7),1,0)))</f>
        <v>0</v>
      </c>
      <c r="DV1" s="69">
        <f>+IFERROR(VLOOKUP(DV3,nolaborales[[#All],[Fecha Presente]],1,FALSE),IF(AND(LIQUIDACIÓN!$B$1=1,OR(WEEKDAY(CALENDARIO!DV3,2)=6,WEEKDAY(CALENDARIO!DV3,2)=7)),1,IF(AND(LIQUIDACIÓN!$B$1=11,WEEKDAY(CALENDARIO!DV3,2)=7),1,0)))</f>
        <v>0</v>
      </c>
      <c r="DW1" s="69">
        <f>+IFERROR(VLOOKUP(DW3,nolaborales[[#All],[Fecha Presente]],1,FALSE),IF(AND(LIQUIDACIÓN!$B$1=1,OR(WEEKDAY(CALENDARIO!DW3,2)=6,WEEKDAY(CALENDARIO!DW3,2)=7)),1,IF(AND(LIQUIDACIÓN!$B$1=11,WEEKDAY(CALENDARIO!DW3,2)=7),1,0)))</f>
        <v>44317</v>
      </c>
      <c r="DX1" s="69">
        <f>+IFERROR(VLOOKUP(DX3,nolaborales[[#All],[Fecha Presente]],1,FALSE),IF(AND(LIQUIDACIÓN!$B$1=1,OR(WEEKDAY(CALENDARIO!DX3,2)=6,WEEKDAY(CALENDARIO!DX3,2)=7)),1,IF(AND(LIQUIDACIÓN!$B$1=11,WEEKDAY(CALENDARIO!DX3,2)=7),1,0)))</f>
        <v>1</v>
      </c>
      <c r="DY1" s="69">
        <f>+IFERROR(VLOOKUP(DY3,nolaborales[[#All],[Fecha Presente]],1,FALSE),IF(AND(LIQUIDACIÓN!$B$1=1,OR(WEEKDAY(CALENDARIO!DY3,2)=6,WEEKDAY(CALENDARIO!DY3,2)=7)),1,IF(AND(LIQUIDACIÓN!$B$1=11,WEEKDAY(CALENDARIO!DY3,2)=7),1,0)))</f>
        <v>0</v>
      </c>
      <c r="DZ1" s="69">
        <f>+IFERROR(VLOOKUP(DZ3,nolaborales[[#All],[Fecha Presente]],1,FALSE),IF(AND(LIQUIDACIÓN!$B$1=1,OR(WEEKDAY(CALENDARIO!DZ3,2)=6,WEEKDAY(CALENDARIO!DZ3,2)=7)),1,IF(AND(LIQUIDACIÓN!$B$1=11,WEEKDAY(CALENDARIO!DZ3,2)=7),1,0)))</f>
        <v>0</v>
      </c>
      <c r="EA1" s="69">
        <f>+IFERROR(VLOOKUP(EA3,nolaborales[[#All],[Fecha Presente]],1,FALSE),IF(AND(LIQUIDACIÓN!$B$1=1,OR(WEEKDAY(CALENDARIO!EA3,2)=6,WEEKDAY(CALENDARIO!EA3,2)=7)),1,IF(AND(LIQUIDACIÓN!$B$1=11,WEEKDAY(CALENDARIO!EA3,2)=7),1,0)))</f>
        <v>0</v>
      </c>
      <c r="EB1" s="69">
        <f>+IFERROR(VLOOKUP(EB3,nolaborales[[#All],[Fecha Presente]],1,FALSE),IF(AND(LIQUIDACIÓN!$B$1=1,OR(WEEKDAY(CALENDARIO!EB3,2)=6,WEEKDAY(CALENDARIO!EB3,2)=7)),1,IF(AND(LIQUIDACIÓN!$B$1=11,WEEKDAY(CALENDARIO!EB3,2)=7),1,0)))</f>
        <v>0</v>
      </c>
      <c r="EC1" s="69">
        <f>+IFERROR(VLOOKUP(EC3,nolaborales[[#All],[Fecha Presente]],1,FALSE),IF(AND(LIQUIDACIÓN!$B$1=1,OR(WEEKDAY(CALENDARIO!EC3,2)=6,WEEKDAY(CALENDARIO!EC3,2)=7)),1,IF(AND(LIQUIDACIÓN!$B$1=11,WEEKDAY(CALENDARIO!EC3,2)=7),1,0)))</f>
        <v>0</v>
      </c>
      <c r="ED1" s="69">
        <f>+IFERROR(VLOOKUP(ED3,nolaborales[[#All],[Fecha Presente]],1,FALSE),IF(AND(LIQUIDACIÓN!$B$1=1,OR(WEEKDAY(CALENDARIO!ED3,2)=6,WEEKDAY(CALENDARIO!ED3,2)=7)),1,IF(AND(LIQUIDACIÓN!$B$1=11,WEEKDAY(CALENDARIO!ED3,2)=7),1,0)))</f>
        <v>1</v>
      </c>
      <c r="EE1" s="69">
        <f>+IFERROR(VLOOKUP(EE3,nolaborales[[#All],[Fecha Presente]],1,FALSE),IF(AND(LIQUIDACIÓN!$B$1=1,OR(WEEKDAY(CALENDARIO!EE3,2)=6,WEEKDAY(CALENDARIO!EE3,2)=7)),1,IF(AND(LIQUIDACIÓN!$B$1=11,WEEKDAY(CALENDARIO!EE3,2)=7),1,0)))</f>
        <v>1</v>
      </c>
      <c r="EF1" s="69">
        <f>+IFERROR(VLOOKUP(EF3,nolaborales[[#All],[Fecha Presente]],1,FALSE),IF(AND(LIQUIDACIÓN!$B$1=1,OR(WEEKDAY(CALENDARIO!EF3,2)=6,WEEKDAY(CALENDARIO!EF3,2)=7)),1,IF(AND(LIQUIDACIÓN!$B$1=11,WEEKDAY(CALENDARIO!EF3,2)=7),1,0)))</f>
        <v>0</v>
      </c>
      <c r="EG1" s="69">
        <f>+IFERROR(VLOOKUP(EG3,nolaborales[[#All],[Fecha Presente]],1,FALSE),IF(AND(LIQUIDACIÓN!$B$1=1,OR(WEEKDAY(CALENDARIO!EG3,2)=6,WEEKDAY(CALENDARIO!EG3,2)=7)),1,IF(AND(LIQUIDACIÓN!$B$1=11,WEEKDAY(CALENDARIO!EG3,2)=7),1,0)))</f>
        <v>0</v>
      </c>
      <c r="EH1" s="69">
        <f>+IFERROR(VLOOKUP(EH3,nolaborales[[#All],[Fecha Presente]],1,FALSE),IF(AND(LIQUIDACIÓN!$B$1=1,OR(WEEKDAY(CALENDARIO!EH3,2)=6,WEEKDAY(CALENDARIO!EH3,2)=7)),1,IF(AND(LIQUIDACIÓN!$B$1=11,WEEKDAY(CALENDARIO!EH3,2)=7),1,0)))</f>
        <v>0</v>
      </c>
      <c r="EI1" s="69">
        <f>+IFERROR(VLOOKUP(EI3,nolaborales[[#All],[Fecha Presente]],1,FALSE),IF(AND(LIQUIDACIÓN!$B$1=1,OR(WEEKDAY(CALENDARIO!EI3,2)=6,WEEKDAY(CALENDARIO!EI3,2)=7)),1,IF(AND(LIQUIDACIÓN!$B$1=11,WEEKDAY(CALENDARIO!EI3,2)=7),1,0)))</f>
        <v>0</v>
      </c>
      <c r="EJ1" s="69">
        <f>+IFERROR(VLOOKUP(EJ3,nolaborales[[#All],[Fecha Presente]],1,FALSE),IF(AND(LIQUIDACIÓN!$B$1=1,OR(WEEKDAY(CALENDARIO!EJ3,2)=6,WEEKDAY(CALENDARIO!EJ3,2)=7)),1,IF(AND(LIQUIDACIÓN!$B$1=11,WEEKDAY(CALENDARIO!EJ3,2)=7),1,0)))</f>
        <v>0</v>
      </c>
      <c r="EK1" s="69">
        <f>+IFERROR(VLOOKUP(EK3,nolaborales[[#All],[Fecha Presente]],1,FALSE),IF(AND(LIQUIDACIÓN!$B$1=1,OR(WEEKDAY(CALENDARIO!EK3,2)=6,WEEKDAY(CALENDARIO!EK3,2)=7)),1,IF(AND(LIQUIDACIÓN!$B$1=11,WEEKDAY(CALENDARIO!EK3,2)=7),1,0)))</f>
        <v>1</v>
      </c>
      <c r="EL1" s="69">
        <f>+IFERROR(VLOOKUP(EL3,nolaborales[[#All],[Fecha Presente]],1,FALSE),IF(AND(LIQUIDACIÓN!$B$1=1,OR(WEEKDAY(CALENDARIO!EL3,2)=6,WEEKDAY(CALENDARIO!EL3,2)=7)),1,IF(AND(LIQUIDACIÓN!$B$1=11,WEEKDAY(CALENDARIO!EL3,2)=7),1,0)))</f>
        <v>1</v>
      </c>
      <c r="EM1" s="69">
        <f>+IFERROR(VLOOKUP(EM3,nolaborales[[#All],[Fecha Presente]],1,FALSE),IF(AND(LIQUIDACIÓN!$B$1=1,OR(WEEKDAY(CALENDARIO!EM3,2)=6,WEEKDAY(CALENDARIO!EM3,2)=7)),1,IF(AND(LIQUIDACIÓN!$B$1=11,WEEKDAY(CALENDARIO!EM3,2)=7),1,0)))</f>
        <v>0</v>
      </c>
      <c r="EN1" s="69">
        <f>+IFERROR(VLOOKUP(EN3,nolaborales[[#All],[Fecha Presente]],1,FALSE),IF(AND(LIQUIDACIÓN!$B$1=1,OR(WEEKDAY(CALENDARIO!EN3,2)=6,WEEKDAY(CALENDARIO!EN3,2)=7)),1,IF(AND(LIQUIDACIÓN!$B$1=11,WEEKDAY(CALENDARIO!EN3,2)=7),1,0)))</f>
        <v>0</v>
      </c>
      <c r="EO1" s="69">
        <f>+IFERROR(VLOOKUP(EO3,nolaborales[[#All],[Fecha Presente]],1,FALSE),IF(AND(LIQUIDACIÓN!$B$1=1,OR(WEEKDAY(CALENDARIO!EO3,2)=6,WEEKDAY(CALENDARIO!EO3,2)=7)),1,IF(AND(LIQUIDACIÓN!$B$1=11,WEEKDAY(CALENDARIO!EO3,2)=7),1,0)))</f>
        <v>0</v>
      </c>
      <c r="EP1" s="69">
        <f>+IFERROR(VLOOKUP(EP3,nolaborales[[#All],[Fecha Presente]],1,FALSE),IF(AND(LIQUIDACIÓN!$B$1=1,OR(WEEKDAY(CALENDARIO!EP3,2)=6,WEEKDAY(CALENDARIO!EP3,2)=7)),1,IF(AND(LIQUIDACIÓN!$B$1=11,WEEKDAY(CALENDARIO!EP3,2)=7),1,0)))</f>
        <v>0</v>
      </c>
      <c r="EQ1" s="69">
        <f>+IFERROR(VLOOKUP(EQ3,nolaborales[[#All],[Fecha Presente]],1,FALSE),IF(AND(LIQUIDACIÓN!$B$1=1,OR(WEEKDAY(CALENDARIO!EQ3,2)=6,WEEKDAY(CALENDARIO!EQ3,2)=7)),1,IF(AND(LIQUIDACIÓN!$B$1=11,WEEKDAY(CALENDARIO!EQ3,2)=7),1,0)))</f>
        <v>0</v>
      </c>
      <c r="ER1" s="69">
        <f>+IFERROR(VLOOKUP(ER3,nolaborales[[#All],[Fecha Presente]],1,FALSE),IF(AND(LIQUIDACIÓN!$B$1=1,OR(WEEKDAY(CALENDARIO!ER3,2)=6,WEEKDAY(CALENDARIO!ER3,2)=7)),1,IF(AND(LIQUIDACIÓN!$B$1=11,WEEKDAY(CALENDARIO!ER3,2)=7),1,0)))</f>
        <v>1</v>
      </c>
      <c r="ES1" s="69">
        <f>+IFERROR(VLOOKUP(ES3,nolaborales[[#All],[Fecha Presente]],1,FALSE),IF(AND(LIQUIDACIÓN!$B$1=1,OR(WEEKDAY(CALENDARIO!ES3,2)=6,WEEKDAY(CALENDARIO!ES3,2)=7)),1,IF(AND(LIQUIDACIÓN!$B$1=11,WEEKDAY(CALENDARIO!ES3,2)=7),1,0)))</f>
        <v>1</v>
      </c>
      <c r="ET1" s="69">
        <f>+IFERROR(VLOOKUP(ET3,nolaborales[[#All],[Fecha Presente]],1,FALSE),IF(AND(LIQUIDACIÓN!$B$1=1,OR(WEEKDAY(CALENDARIO!ET3,2)=6,WEEKDAY(CALENDARIO!ET3,2)=7)),1,IF(AND(LIQUIDACIÓN!$B$1=11,WEEKDAY(CALENDARIO!ET3,2)=7),1,0)))</f>
        <v>0</v>
      </c>
      <c r="EU1" s="69">
        <f>+IFERROR(VLOOKUP(EU3,nolaborales[[#All],[Fecha Presente]],1,FALSE),IF(AND(LIQUIDACIÓN!$B$1=1,OR(WEEKDAY(CALENDARIO!EU3,2)=6,WEEKDAY(CALENDARIO!EU3,2)=7)),1,IF(AND(LIQUIDACIÓN!$B$1=11,WEEKDAY(CALENDARIO!EU3,2)=7),1,0)))</f>
        <v>0</v>
      </c>
      <c r="EV1" s="69">
        <f>+IFERROR(VLOOKUP(EV3,nolaborales[[#All],[Fecha Presente]],1,FALSE),IF(AND(LIQUIDACIÓN!$B$1=1,OR(WEEKDAY(CALENDARIO!EV3,2)=6,WEEKDAY(CALENDARIO!EV3,2)=7)),1,IF(AND(LIQUIDACIÓN!$B$1=11,WEEKDAY(CALENDARIO!EV3,2)=7),1,0)))</f>
        <v>0</v>
      </c>
      <c r="EW1" s="69">
        <f>+IFERROR(VLOOKUP(EW3,nolaborales[[#All],[Fecha Presente]],1,FALSE),IF(AND(LIQUIDACIÓN!$B$1=1,OR(WEEKDAY(CALENDARIO!EW3,2)=6,WEEKDAY(CALENDARIO!EW3,2)=7)),1,IF(AND(LIQUIDACIÓN!$B$1=11,WEEKDAY(CALENDARIO!EW3,2)=7),1,0)))</f>
        <v>0</v>
      </c>
      <c r="EX1" s="69">
        <f>+IFERROR(VLOOKUP(EX3,nolaborales[[#All],[Fecha Presente]],1,FALSE),IF(AND(LIQUIDACIÓN!$B$1=1,OR(WEEKDAY(CALENDARIO!EX3,2)=6,WEEKDAY(CALENDARIO!EX3,2)=7)),1,IF(AND(LIQUIDACIÓN!$B$1=11,WEEKDAY(CALENDARIO!EX3,2)=7),1,0)))</f>
        <v>0</v>
      </c>
      <c r="EY1" s="69">
        <f>+IFERROR(VLOOKUP(EY3,nolaborales[[#All],[Fecha Presente]],1,FALSE),IF(AND(LIQUIDACIÓN!$B$1=1,OR(WEEKDAY(CALENDARIO!EY3,2)=6,WEEKDAY(CALENDARIO!EY3,2)=7)),1,IF(AND(LIQUIDACIÓN!$B$1=11,WEEKDAY(CALENDARIO!EY3,2)=7),1,0)))</f>
        <v>1</v>
      </c>
      <c r="EZ1" s="69">
        <f>+IFERROR(VLOOKUP(EZ3,nolaborales[[#All],[Fecha Presente]],1,FALSE),IF(AND(LIQUIDACIÓN!$B$1=1,OR(WEEKDAY(CALENDARIO!EZ3,2)=6,WEEKDAY(CALENDARIO!EZ3,2)=7)),1,IF(AND(LIQUIDACIÓN!$B$1=11,WEEKDAY(CALENDARIO!EZ3,2)=7),1,0)))</f>
        <v>1</v>
      </c>
      <c r="FA1" s="69">
        <f>+IFERROR(VLOOKUP(FA3,nolaborales[[#All],[Fecha Presente]],1,FALSE),IF(AND(LIQUIDACIÓN!$B$1=1,OR(WEEKDAY(CALENDARIO!FA3,2)=6,WEEKDAY(CALENDARIO!FA3,2)=7)),1,IF(AND(LIQUIDACIÓN!$B$1=11,WEEKDAY(CALENDARIO!FA3,2)=7),1,0)))</f>
        <v>0</v>
      </c>
      <c r="FB1" s="69">
        <f>+IFERROR(VLOOKUP(FB3,nolaborales[[#All],[Fecha Presente]],1,FALSE),IF(AND(LIQUIDACIÓN!$B$1=1,OR(WEEKDAY(CALENDARIO!FB3,2)=6,WEEKDAY(CALENDARIO!FB3,2)=7)),1,IF(AND(LIQUIDACIÓN!$B$1=11,WEEKDAY(CALENDARIO!FB3,2)=7),1,0)))</f>
        <v>0</v>
      </c>
      <c r="FC1" s="69">
        <f>+IFERROR(VLOOKUP(FC3,nolaborales[[#All],[Fecha Presente]],1,FALSE),IF(AND(LIQUIDACIÓN!$B$1=1,OR(WEEKDAY(CALENDARIO!FC3,2)=6,WEEKDAY(CALENDARIO!FC3,2)=7)),1,IF(AND(LIQUIDACIÓN!$B$1=11,WEEKDAY(CALENDARIO!FC3,2)=7),1,0)))</f>
        <v>0</v>
      </c>
      <c r="FD1" s="69">
        <f>+IFERROR(VLOOKUP(FD3,nolaborales[[#All],[Fecha Presente]],1,FALSE),IF(AND(LIQUIDACIÓN!$B$1=1,OR(WEEKDAY(CALENDARIO!FD3,2)=6,WEEKDAY(CALENDARIO!FD3,2)=7)),1,IF(AND(LIQUIDACIÓN!$B$1=11,WEEKDAY(CALENDARIO!FD3,2)=7),1,0)))</f>
        <v>0</v>
      </c>
      <c r="FE1" s="69">
        <f>+IFERROR(VLOOKUP(FE3,nolaborales[[#All],[Fecha Presente]],1,FALSE),IF(AND(LIQUIDACIÓN!$B$1=1,OR(WEEKDAY(CALENDARIO!FE3,2)=6,WEEKDAY(CALENDARIO!FE3,2)=7)),1,IF(AND(LIQUIDACIÓN!$B$1=11,WEEKDAY(CALENDARIO!FE3,2)=7),1,0)))</f>
        <v>0</v>
      </c>
      <c r="FF1" s="69">
        <f>+IFERROR(VLOOKUP(FF3,nolaborales[[#All],[Fecha Presente]],1,FALSE),IF(AND(LIQUIDACIÓN!$B$1=1,OR(WEEKDAY(CALENDARIO!FF3,2)=6,WEEKDAY(CALENDARIO!FF3,2)=7)),1,IF(AND(LIQUIDACIÓN!$B$1=11,WEEKDAY(CALENDARIO!FF3,2)=7),1,0)))</f>
        <v>1</v>
      </c>
      <c r="FG1" s="69">
        <f>+IFERROR(VLOOKUP(FG3,nolaborales[[#All],[Fecha Presente]],1,FALSE),IF(AND(LIQUIDACIÓN!$B$1=1,OR(WEEKDAY(CALENDARIO!FG3,2)=6,WEEKDAY(CALENDARIO!FG3,2)=7)),1,IF(AND(LIQUIDACIÓN!$B$1=11,WEEKDAY(CALENDARIO!FG3,2)=7),1,0)))</f>
        <v>1</v>
      </c>
      <c r="FH1" s="69">
        <f>+IFERROR(VLOOKUP(FH3,nolaborales[[#All],[Fecha Presente]],1,FALSE),IF(AND(LIQUIDACIÓN!$B$1=1,OR(WEEKDAY(CALENDARIO!FH3,2)=6,WEEKDAY(CALENDARIO!FH3,2)=7)),1,IF(AND(LIQUIDACIÓN!$B$1=11,WEEKDAY(CALENDARIO!FH3,2)=7),1,0)))</f>
        <v>0</v>
      </c>
      <c r="FI1" s="69">
        <f>+IFERROR(VLOOKUP(FI3,nolaborales[[#All],[Fecha Presente]],1,FALSE),IF(AND(LIQUIDACIÓN!$B$1=1,OR(WEEKDAY(CALENDARIO!FI3,2)=6,WEEKDAY(CALENDARIO!FI3,2)=7)),1,IF(AND(LIQUIDACIÓN!$B$1=11,WEEKDAY(CALENDARIO!FI3,2)=7),1,0)))</f>
        <v>0</v>
      </c>
      <c r="FJ1" s="69">
        <f>+IFERROR(VLOOKUP(FJ3,nolaborales[[#All],[Fecha Presente]],1,FALSE),IF(AND(LIQUIDACIÓN!$B$1=1,OR(WEEKDAY(CALENDARIO!FJ3,2)=6,WEEKDAY(CALENDARIO!FJ3,2)=7)),1,IF(AND(LIQUIDACIÓN!$B$1=11,WEEKDAY(CALENDARIO!FJ3,2)=7),1,0)))</f>
        <v>0</v>
      </c>
      <c r="FK1" s="69">
        <f>+IFERROR(VLOOKUP(FK3,nolaborales[[#All],[Fecha Presente]],1,FALSE),IF(AND(LIQUIDACIÓN!$B$1=1,OR(WEEKDAY(CALENDARIO!FK3,2)=6,WEEKDAY(CALENDARIO!FK3,2)=7)),1,IF(AND(LIQUIDACIÓN!$B$1=11,WEEKDAY(CALENDARIO!FK3,2)=7),1,0)))</f>
        <v>0</v>
      </c>
      <c r="FL1" s="69">
        <f>+IFERROR(VLOOKUP(FL3,nolaborales[[#All],[Fecha Presente]],1,FALSE),IF(AND(LIQUIDACIÓN!$B$1=1,OR(WEEKDAY(CALENDARIO!FL3,2)=6,WEEKDAY(CALENDARIO!FL3,2)=7)),1,IF(AND(LIQUIDACIÓN!$B$1=11,WEEKDAY(CALENDARIO!FL3,2)=7),1,0)))</f>
        <v>0</v>
      </c>
      <c r="FM1" s="69">
        <f>+IFERROR(VLOOKUP(FM3,nolaborales[[#All],[Fecha Presente]],1,FALSE),IF(AND(LIQUIDACIÓN!$B$1=1,OR(WEEKDAY(CALENDARIO!FM3,2)=6,WEEKDAY(CALENDARIO!FM3,2)=7)),1,IF(AND(LIQUIDACIÓN!$B$1=11,WEEKDAY(CALENDARIO!FM3,2)=7),1,0)))</f>
        <v>1</v>
      </c>
      <c r="FN1" s="69">
        <f>+IFERROR(VLOOKUP(FN3,nolaborales[[#All],[Fecha Presente]],1,FALSE),IF(AND(LIQUIDACIÓN!$B$1=1,OR(WEEKDAY(CALENDARIO!FN3,2)=6,WEEKDAY(CALENDARIO!FN3,2)=7)),1,IF(AND(LIQUIDACIÓN!$B$1=11,WEEKDAY(CALENDARIO!FN3,2)=7),1,0)))</f>
        <v>1</v>
      </c>
      <c r="FO1" s="69">
        <f>+IFERROR(VLOOKUP(FO3,nolaborales[[#All],[Fecha Presente]],1,FALSE),IF(AND(LIQUIDACIÓN!$B$1=1,OR(WEEKDAY(CALENDARIO!FO3,2)=6,WEEKDAY(CALENDARIO!FO3,2)=7)),1,IF(AND(LIQUIDACIÓN!$B$1=11,WEEKDAY(CALENDARIO!FO3,2)=7),1,0)))</f>
        <v>0</v>
      </c>
      <c r="FP1" s="69">
        <f>+IFERROR(VLOOKUP(FP3,nolaborales[[#All],[Fecha Presente]],1,FALSE),IF(AND(LIQUIDACIÓN!$B$1=1,OR(WEEKDAY(CALENDARIO!FP3,2)=6,WEEKDAY(CALENDARIO!FP3,2)=7)),1,IF(AND(LIQUIDACIÓN!$B$1=11,WEEKDAY(CALENDARIO!FP3,2)=7),1,0)))</f>
        <v>0</v>
      </c>
      <c r="FQ1" s="69">
        <f>+IFERROR(VLOOKUP(FQ3,nolaborales[[#All],[Fecha Presente]],1,FALSE),IF(AND(LIQUIDACIÓN!$B$1=1,OR(WEEKDAY(CALENDARIO!FQ3,2)=6,WEEKDAY(CALENDARIO!FQ3,2)=7)),1,IF(AND(LIQUIDACIÓN!$B$1=11,WEEKDAY(CALENDARIO!FQ3,2)=7),1,0)))</f>
        <v>0</v>
      </c>
      <c r="FR1" s="69">
        <f>+IFERROR(VLOOKUP(FR3,nolaborales[[#All],[Fecha Presente]],1,FALSE),IF(AND(LIQUIDACIÓN!$B$1=1,OR(WEEKDAY(CALENDARIO!FR3,2)=6,WEEKDAY(CALENDARIO!FR3,2)=7)),1,IF(AND(LIQUIDACIÓN!$B$1=11,WEEKDAY(CALENDARIO!FR3,2)=7),1,0)))</f>
        <v>0</v>
      </c>
      <c r="FS1" s="69">
        <f>+IFERROR(VLOOKUP(FS3,nolaborales[[#All],[Fecha Presente]],1,FALSE),IF(AND(LIQUIDACIÓN!$B$1=1,OR(WEEKDAY(CALENDARIO!FS3,2)=6,WEEKDAY(CALENDARIO!FS3,2)=7)),1,IF(AND(LIQUIDACIÓN!$B$1=11,WEEKDAY(CALENDARIO!FS3,2)=7),1,0)))</f>
        <v>0</v>
      </c>
      <c r="FT1" s="69">
        <f>+IFERROR(VLOOKUP(FT3,nolaborales[[#All],[Fecha Presente]],1,FALSE),IF(AND(LIQUIDACIÓN!$B$1=1,OR(WEEKDAY(CALENDARIO!FT3,2)=6,WEEKDAY(CALENDARIO!FT3,2)=7)),1,IF(AND(LIQUIDACIÓN!$B$1=11,WEEKDAY(CALENDARIO!FT3,2)=7),1,0)))</f>
        <v>1</v>
      </c>
      <c r="FU1" s="69">
        <f>+IFERROR(VLOOKUP(FU3,nolaborales[[#All],[Fecha Presente]],1,FALSE),IF(AND(LIQUIDACIÓN!$B$1=1,OR(WEEKDAY(CALENDARIO!FU3,2)=6,WEEKDAY(CALENDARIO!FU3,2)=7)),1,IF(AND(LIQUIDACIÓN!$B$1=11,WEEKDAY(CALENDARIO!FU3,2)=7),1,0)))</f>
        <v>1</v>
      </c>
      <c r="FV1" s="69">
        <f>+IFERROR(VLOOKUP(FV3,nolaborales[[#All],[Fecha Presente]],1,FALSE),IF(AND(LIQUIDACIÓN!$B$1=1,OR(WEEKDAY(CALENDARIO!FV3,2)=6,WEEKDAY(CALENDARIO!FV3,2)=7)),1,IF(AND(LIQUIDACIÓN!$B$1=11,WEEKDAY(CALENDARIO!FV3,2)=7),1,0)))</f>
        <v>0</v>
      </c>
      <c r="FW1" s="69">
        <f>+IFERROR(VLOOKUP(FW3,nolaborales[[#All],[Fecha Presente]],1,FALSE),IF(AND(LIQUIDACIÓN!$B$1=1,OR(WEEKDAY(CALENDARIO!FW3,2)=6,WEEKDAY(CALENDARIO!FW3,2)=7)),1,IF(AND(LIQUIDACIÓN!$B$1=11,WEEKDAY(CALENDARIO!FW3,2)=7),1,0)))</f>
        <v>0</v>
      </c>
      <c r="FX1" s="69">
        <f>+IFERROR(VLOOKUP(FX3,nolaborales[[#All],[Fecha Presente]],1,FALSE),IF(AND(LIQUIDACIÓN!$B$1=1,OR(WEEKDAY(CALENDARIO!FX3,2)=6,WEEKDAY(CALENDARIO!FX3,2)=7)),1,IF(AND(LIQUIDACIÓN!$B$1=11,WEEKDAY(CALENDARIO!FX3,2)=7),1,0)))</f>
        <v>0</v>
      </c>
      <c r="FY1" s="69">
        <f>+IFERROR(VLOOKUP(FY3,nolaborales[[#All],[Fecha Presente]],1,FALSE),IF(AND(LIQUIDACIÓN!$B$1=1,OR(WEEKDAY(CALENDARIO!FY3,2)=6,WEEKDAY(CALENDARIO!FY3,2)=7)),1,IF(AND(LIQUIDACIÓN!$B$1=11,WEEKDAY(CALENDARIO!FY3,2)=7),1,0)))</f>
        <v>0</v>
      </c>
      <c r="FZ1" s="69">
        <f>+IFERROR(VLOOKUP(FZ3,nolaborales[[#All],[Fecha Presente]],1,FALSE),IF(AND(LIQUIDACIÓN!$B$1=1,OR(WEEKDAY(CALENDARIO!FZ3,2)=6,WEEKDAY(CALENDARIO!FZ3,2)=7)),1,IF(AND(LIQUIDACIÓN!$B$1=11,WEEKDAY(CALENDARIO!FZ3,2)=7),1,0)))</f>
        <v>0</v>
      </c>
      <c r="GA1" s="69">
        <f>+IFERROR(VLOOKUP(GA3,nolaborales[[#All],[Fecha Presente]],1,FALSE),IF(AND(LIQUIDACIÓN!$B$1=1,OR(WEEKDAY(CALENDARIO!GA3,2)=6,WEEKDAY(CALENDARIO!GA3,2)=7)),1,IF(AND(LIQUIDACIÓN!$B$1=11,WEEKDAY(CALENDARIO!GA3,2)=7),1,0)))</f>
        <v>1</v>
      </c>
      <c r="GB1" s="69">
        <f>+IFERROR(VLOOKUP(GB3,nolaborales[[#All],[Fecha Presente]],1,FALSE),IF(AND(LIQUIDACIÓN!$B$1=1,OR(WEEKDAY(CALENDARIO!GB3,2)=6,WEEKDAY(CALENDARIO!GB3,2)=7)),1,IF(AND(LIQUIDACIÓN!$B$1=11,WEEKDAY(CALENDARIO!GB3,2)=7),1,0)))</f>
        <v>1</v>
      </c>
      <c r="GC1" s="69">
        <f>+IFERROR(VLOOKUP(GC3,nolaborales[[#All],[Fecha Presente]],1,FALSE),IF(AND(LIQUIDACIÓN!$B$1=1,OR(WEEKDAY(CALENDARIO!GC3,2)=6,WEEKDAY(CALENDARIO!GC3,2)=7)),1,IF(AND(LIQUIDACIÓN!$B$1=11,WEEKDAY(CALENDARIO!GC3,2)=7),1,0)))</f>
        <v>0</v>
      </c>
      <c r="GD1" s="69">
        <f>+IFERROR(VLOOKUP(GD3,nolaborales[[#All],[Fecha Presente]],1,FALSE),IF(AND(LIQUIDACIÓN!$B$1=1,OR(WEEKDAY(CALENDARIO!GD3,2)=6,WEEKDAY(CALENDARIO!GD3,2)=7)),1,IF(AND(LIQUIDACIÓN!$B$1=11,WEEKDAY(CALENDARIO!GD3,2)=7),1,0)))</f>
        <v>0</v>
      </c>
      <c r="GE1" s="69">
        <f>+IFERROR(VLOOKUP(GE3,nolaborales[[#All],[Fecha Presente]],1,FALSE),IF(AND(LIQUIDACIÓN!$B$1=1,OR(WEEKDAY(CALENDARIO!GE3,2)=6,WEEKDAY(CALENDARIO!GE3,2)=7)),1,IF(AND(LIQUIDACIÓN!$B$1=11,WEEKDAY(CALENDARIO!GE3,2)=7),1,0)))</f>
        <v>0</v>
      </c>
      <c r="GF1" s="69">
        <f>+IFERROR(VLOOKUP(GF3,nolaborales[[#All],[Fecha Presente]],1,FALSE),IF(AND(LIQUIDACIÓN!$B$1=1,OR(WEEKDAY(CALENDARIO!GF3,2)=6,WEEKDAY(CALENDARIO!GF3,2)=7)),1,IF(AND(LIQUIDACIÓN!$B$1=11,WEEKDAY(CALENDARIO!GF3,2)=7),1,0)))</f>
        <v>0</v>
      </c>
      <c r="GG1" s="69">
        <f>+IFERROR(VLOOKUP(GG3,nolaborales[[#All],[Fecha Presente]],1,FALSE),IF(AND(LIQUIDACIÓN!$B$1=1,OR(WEEKDAY(CALENDARIO!GG3,2)=6,WEEKDAY(CALENDARIO!GG3,2)=7)),1,IF(AND(LIQUIDACIÓN!$B$1=11,WEEKDAY(CALENDARIO!GG3,2)=7),1,0)))</f>
        <v>0</v>
      </c>
      <c r="GH1" s="69">
        <f>+IFERROR(VLOOKUP(GH3,nolaborales[[#All],[Fecha Presente]],1,FALSE),IF(AND(LIQUIDACIÓN!$B$1=1,OR(WEEKDAY(CALENDARIO!GH3,2)=6,WEEKDAY(CALENDARIO!GH3,2)=7)),1,IF(AND(LIQUIDACIÓN!$B$1=11,WEEKDAY(CALENDARIO!GH3,2)=7),1,0)))</f>
        <v>1</v>
      </c>
      <c r="GI1" s="69">
        <f>+IFERROR(VLOOKUP(GI3,nolaborales[[#All],[Fecha Presente]],1,FALSE),IF(AND(LIQUIDACIÓN!$B$1=1,OR(WEEKDAY(CALENDARIO!GI3,2)=6,WEEKDAY(CALENDARIO!GI3,2)=7)),1,IF(AND(LIQUIDACIÓN!$B$1=11,WEEKDAY(CALENDARIO!GI3,2)=7),1,0)))</f>
        <v>1</v>
      </c>
      <c r="GJ1" s="69">
        <f>+IFERROR(VLOOKUP(GJ3,nolaborales[[#All],[Fecha Presente]],1,FALSE),IF(AND(LIQUIDACIÓN!$B$1=1,OR(WEEKDAY(CALENDARIO!GJ3,2)=6,WEEKDAY(CALENDARIO!GJ3,2)=7)),1,IF(AND(LIQUIDACIÓN!$B$1=11,WEEKDAY(CALENDARIO!GJ3,2)=7),1,0)))</f>
        <v>0</v>
      </c>
      <c r="GK1" s="69">
        <f>+IFERROR(VLOOKUP(GK3,nolaborales[[#All],[Fecha Presente]],1,FALSE),IF(AND(LIQUIDACIÓN!$B$1=1,OR(WEEKDAY(CALENDARIO!GK3,2)=6,WEEKDAY(CALENDARIO!GK3,2)=7)),1,IF(AND(LIQUIDACIÓN!$B$1=11,WEEKDAY(CALENDARIO!GK3,2)=7),1,0)))</f>
        <v>0</v>
      </c>
      <c r="GL1" s="69">
        <f>+IFERROR(VLOOKUP(GL3,nolaborales[[#All],[Fecha Presente]],1,FALSE),IF(AND(LIQUIDACIÓN!$B$1=1,OR(WEEKDAY(CALENDARIO!GL3,2)=6,WEEKDAY(CALENDARIO!GL3,2)=7)),1,IF(AND(LIQUIDACIÓN!$B$1=11,WEEKDAY(CALENDARIO!GL3,2)=7),1,0)))</f>
        <v>0</v>
      </c>
      <c r="GM1" s="69">
        <f>+IFERROR(VLOOKUP(GM3,nolaborales[[#All],[Fecha Presente]],1,FALSE),IF(AND(LIQUIDACIÓN!$B$1=1,OR(WEEKDAY(CALENDARIO!GM3,2)=6,WEEKDAY(CALENDARIO!GM3,2)=7)),1,IF(AND(LIQUIDACIÓN!$B$1=11,WEEKDAY(CALENDARIO!GM3,2)=7),1,0)))</f>
        <v>0</v>
      </c>
      <c r="GN1" s="69">
        <f>+IFERROR(VLOOKUP(GN3,nolaborales[[#All],[Fecha Presente]],1,FALSE),IF(AND(LIQUIDACIÓN!$B$1=1,OR(WEEKDAY(CALENDARIO!GN3,2)=6,WEEKDAY(CALENDARIO!GN3,2)=7)),1,IF(AND(LIQUIDACIÓN!$B$1=11,WEEKDAY(CALENDARIO!GN3,2)=7),1,0)))</f>
        <v>0</v>
      </c>
      <c r="GO1" s="69">
        <f>+IFERROR(VLOOKUP(GO3,nolaborales[[#All],[Fecha Presente]],1,FALSE),IF(AND(LIQUIDACIÓN!$B$1=1,OR(WEEKDAY(CALENDARIO!GO3,2)=6,WEEKDAY(CALENDARIO!GO3,2)=7)),1,IF(AND(LIQUIDACIÓN!$B$1=11,WEEKDAY(CALENDARIO!GO3,2)=7),1,0)))</f>
        <v>1</v>
      </c>
      <c r="GP1" s="69">
        <f>+IFERROR(VLOOKUP(GP3,nolaborales[[#All],[Fecha Presente]],1,FALSE),IF(AND(LIQUIDACIÓN!$B$1=1,OR(WEEKDAY(CALENDARIO!GP3,2)=6,WEEKDAY(CALENDARIO!GP3,2)=7)),1,IF(AND(LIQUIDACIÓN!$B$1=11,WEEKDAY(CALENDARIO!GP3,2)=7),1,0)))</f>
        <v>1</v>
      </c>
      <c r="GQ1" s="69">
        <f>+IFERROR(VLOOKUP(GQ3,nolaborales[[#All],[Fecha Presente]],1,FALSE),IF(AND(LIQUIDACIÓN!$B$1=1,OR(WEEKDAY(CALENDARIO!GQ3,2)=6,WEEKDAY(CALENDARIO!GQ3,2)=7)),1,IF(AND(LIQUIDACIÓN!$B$1=11,WEEKDAY(CALENDARIO!GQ3,2)=7),1,0)))</f>
        <v>0</v>
      </c>
      <c r="GR1" s="69">
        <f>+IFERROR(VLOOKUP(GR3,nolaborales[[#All],[Fecha Presente]],1,FALSE),IF(AND(LIQUIDACIÓN!$B$1=1,OR(WEEKDAY(CALENDARIO!GR3,2)=6,WEEKDAY(CALENDARIO!GR3,2)=7)),1,IF(AND(LIQUIDACIÓN!$B$1=11,WEEKDAY(CALENDARIO!GR3,2)=7),1,0)))</f>
        <v>0</v>
      </c>
      <c r="GS1" s="69">
        <f>+IFERROR(VLOOKUP(GS3,nolaborales[[#All],[Fecha Presente]],1,FALSE),IF(AND(LIQUIDACIÓN!$B$1=1,OR(WEEKDAY(CALENDARIO!GS3,2)=6,WEEKDAY(CALENDARIO!GS3,2)=7)),1,IF(AND(LIQUIDACIÓN!$B$1=11,WEEKDAY(CALENDARIO!GS3,2)=7),1,0)))</f>
        <v>0</v>
      </c>
      <c r="GT1" s="69">
        <f>+IFERROR(VLOOKUP(GT3,nolaborales[[#All],[Fecha Presente]],1,FALSE),IF(AND(LIQUIDACIÓN!$B$1=1,OR(WEEKDAY(CALENDARIO!GT3,2)=6,WEEKDAY(CALENDARIO!GT3,2)=7)),1,IF(AND(LIQUIDACIÓN!$B$1=11,WEEKDAY(CALENDARIO!GT3,2)=7),1,0)))</f>
        <v>0</v>
      </c>
      <c r="GU1" s="69">
        <f>+IFERROR(VLOOKUP(GU3,nolaborales[[#All],[Fecha Presente]],1,FALSE),IF(AND(LIQUIDACIÓN!$B$1=1,OR(WEEKDAY(CALENDARIO!GU3,2)=6,WEEKDAY(CALENDARIO!GU3,2)=7)),1,IF(AND(LIQUIDACIÓN!$B$1=11,WEEKDAY(CALENDARIO!GU3,2)=7),1,0)))</f>
        <v>0</v>
      </c>
      <c r="GV1" s="69">
        <f>+IFERROR(VLOOKUP(GV3,nolaborales[[#All],[Fecha Presente]],1,FALSE),IF(AND(LIQUIDACIÓN!$B$1=1,OR(WEEKDAY(CALENDARIO!GV3,2)=6,WEEKDAY(CALENDARIO!GV3,2)=7)),1,IF(AND(LIQUIDACIÓN!$B$1=11,WEEKDAY(CALENDARIO!GV3,2)=7),1,0)))</f>
        <v>1</v>
      </c>
      <c r="GW1" s="69">
        <f>+IFERROR(VLOOKUP(GW3,nolaborales[[#All],[Fecha Presente]],1,FALSE),IF(AND(LIQUIDACIÓN!$B$1=1,OR(WEEKDAY(CALENDARIO!GW3,2)=6,WEEKDAY(CALENDARIO!GW3,2)=7)),1,IF(AND(LIQUIDACIÓN!$B$1=11,WEEKDAY(CALENDARIO!GW3,2)=7),1,0)))</f>
        <v>1</v>
      </c>
      <c r="GX1" s="69">
        <f>+IFERROR(VLOOKUP(GX3,nolaborales[[#All],[Fecha Presente]],1,FALSE),IF(AND(LIQUIDACIÓN!$B$1=1,OR(WEEKDAY(CALENDARIO!GX3,2)=6,WEEKDAY(CALENDARIO!GX3,2)=7)),1,IF(AND(LIQUIDACIÓN!$B$1=11,WEEKDAY(CALENDARIO!GX3,2)=7),1,0)))</f>
        <v>0</v>
      </c>
      <c r="GY1" s="69">
        <f>+IFERROR(VLOOKUP(GY3,nolaborales[[#All],[Fecha Presente]],1,FALSE),IF(AND(LIQUIDACIÓN!$B$1=1,OR(WEEKDAY(CALENDARIO!GY3,2)=6,WEEKDAY(CALENDARIO!GY3,2)=7)),1,IF(AND(LIQUIDACIÓN!$B$1=11,WEEKDAY(CALENDARIO!GY3,2)=7),1,0)))</f>
        <v>0</v>
      </c>
      <c r="GZ1" s="69">
        <f>+IFERROR(VLOOKUP(GZ3,nolaborales[[#All],[Fecha Presente]],1,FALSE),IF(AND(LIQUIDACIÓN!$B$1=1,OR(WEEKDAY(CALENDARIO!GZ3,2)=6,WEEKDAY(CALENDARIO!GZ3,2)=7)),1,IF(AND(LIQUIDACIÓN!$B$1=11,WEEKDAY(CALENDARIO!GZ3,2)=7),1,0)))</f>
        <v>0</v>
      </c>
      <c r="HA1" s="69">
        <f>+IFERROR(VLOOKUP(HA3,nolaborales[[#All],[Fecha Presente]],1,FALSE),IF(AND(LIQUIDACIÓN!$B$1=1,OR(WEEKDAY(CALENDARIO!HA3,2)=6,WEEKDAY(CALENDARIO!HA3,2)=7)),1,IF(AND(LIQUIDACIÓN!$B$1=11,WEEKDAY(CALENDARIO!HA3,2)=7),1,0)))</f>
        <v>0</v>
      </c>
      <c r="HB1" s="69">
        <f>+IFERROR(VLOOKUP(HB3,nolaborales[[#All],[Fecha Presente]],1,FALSE),IF(AND(LIQUIDACIÓN!$B$1=1,OR(WEEKDAY(CALENDARIO!HB3,2)=6,WEEKDAY(CALENDARIO!HB3,2)=7)),1,IF(AND(LIQUIDACIÓN!$B$1=11,WEEKDAY(CALENDARIO!HB3,2)=7),1,0)))</f>
        <v>0</v>
      </c>
      <c r="HC1" s="69">
        <f>+IFERROR(VLOOKUP(HC3,nolaborales[[#All],[Fecha Presente]],1,FALSE),IF(AND(LIQUIDACIÓN!$B$1=1,OR(WEEKDAY(CALENDARIO!HC3,2)=6,WEEKDAY(CALENDARIO!HC3,2)=7)),1,IF(AND(LIQUIDACIÓN!$B$1=11,WEEKDAY(CALENDARIO!HC3,2)=7),1,0)))</f>
        <v>1</v>
      </c>
      <c r="HD1" s="69">
        <f>+IFERROR(VLOOKUP(HD3,nolaborales[[#All],[Fecha Presente]],1,FALSE),IF(AND(LIQUIDACIÓN!$B$1=1,OR(WEEKDAY(CALENDARIO!HD3,2)=6,WEEKDAY(CALENDARIO!HD3,2)=7)),1,IF(AND(LIQUIDACIÓN!$B$1=11,WEEKDAY(CALENDARIO!HD3,2)=7),1,0)))</f>
        <v>1</v>
      </c>
      <c r="HE1" s="69">
        <f>+IFERROR(VLOOKUP(HE3,nolaborales[[#All],[Fecha Presente]],1,FALSE),IF(AND(LIQUIDACIÓN!$B$1=1,OR(WEEKDAY(CALENDARIO!HE3,2)=6,WEEKDAY(CALENDARIO!HE3,2)=7)),1,IF(AND(LIQUIDACIÓN!$B$1=11,WEEKDAY(CALENDARIO!HE3,2)=7),1,0)))</f>
        <v>0</v>
      </c>
      <c r="HF1" s="69">
        <f>+IFERROR(VLOOKUP(HF3,nolaborales[[#All],[Fecha Presente]],1,FALSE),IF(AND(LIQUIDACIÓN!$B$1=1,OR(WEEKDAY(CALENDARIO!HF3,2)=6,WEEKDAY(CALENDARIO!HF3,2)=7)),1,IF(AND(LIQUIDACIÓN!$B$1=11,WEEKDAY(CALENDARIO!HF3,2)=7),1,0)))</f>
        <v>0</v>
      </c>
      <c r="HG1" s="69">
        <f>+IFERROR(VLOOKUP(HG3,nolaborales[[#All],[Fecha Presente]],1,FALSE),IF(AND(LIQUIDACIÓN!$B$1=1,OR(WEEKDAY(CALENDARIO!HG3,2)=6,WEEKDAY(CALENDARIO!HG3,2)=7)),1,IF(AND(LIQUIDACIÓN!$B$1=11,WEEKDAY(CALENDARIO!HG3,2)=7),1,0)))</f>
        <v>0</v>
      </c>
      <c r="HH1" s="69">
        <f>+IFERROR(VLOOKUP(HH3,nolaborales[[#All],[Fecha Presente]],1,FALSE),IF(AND(LIQUIDACIÓN!$B$1=1,OR(WEEKDAY(CALENDARIO!HH3,2)=6,WEEKDAY(CALENDARIO!HH3,2)=7)),1,IF(AND(LIQUIDACIÓN!$B$1=11,WEEKDAY(CALENDARIO!HH3,2)=7),1,0)))</f>
        <v>0</v>
      </c>
      <c r="HI1" s="69">
        <f>+IFERROR(VLOOKUP(HI3,nolaborales[[#All],[Fecha Presente]],1,FALSE),IF(AND(LIQUIDACIÓN!$B$1=1,OR(WEEKDAY(CALENDARIO!HI3,2)=6,WEEKDAY(CALENDARIO!HI3,2)=7)),1,IF(AND(LIQUIDACIÓN!$B$1=11,WEEKDAY(CALENDARIO!HI3,2)=7),1,0)))</f>
        <v>0</v>
      </c>
      <c r="HJ1" s="69">
        <f>+IFERROR(VLOOKUP(HJ3,nolaborales[[#All],[Fecha Presente]],1,FALSE),IF(AND(LIQUIDACIÓN!$B$1=1,OR(WEEKDAY(CALENDARIO!HJ3,2)=6,WEEKDAY(CALENDARIO!HJ3,2)=7)),1,IF(AND(LIQUIDACIÓN!$B$1=11,WEEKDAY(CALENDARIO!HJ3,2)=7),1,0)))</f>
        <v>1</v>
      </c>
      <c r="HK1" s="69">
        <f>+IFERROR(VLOOKUP(HK3,nolaborales[[#All],[Fecha Presente]],1,FALSE),IF(AND(LIQUIDACIÓN!$B$1=1,OR(WEEKDAY(CALENDARIO!HK3,2)=6,WEEKDAY(CALENDARIO!HK3,2)=7)),1,IF(AND(LIQUIDACIÓN!$B$1=11,WEEKDAY(CALENDARIO!HK3,2)=7),1,0)))</f>
        <v>1</v>
      </c>
      <c r="HL1" s="69">
        <f>+IFERROR(VLOOKUP(HL3,nolaborales[[#All],[Fecha Presente]],1,FALSE),IF(AND(LIQUIDACIÓN!$B$1=1,OR(WEEKDAY(CALENDARIO!HL3,2)=6,WEEKDAY(CALENDARIO!HL3,2)=7)),1,IF(AND(LIQUIDACIÓN!$B$1=11,WEEKDAY(CALENDARIO!HL3,2)=7),1,0)))</f>
        <v>0</v>
      </c>
      <c r="HM1" s="69">
        <f>+IFERROR(VLOOKUP(HM3,nolaborales[[#All],[Fecha Presente]],1,FALSE),IF(AND(LIQUIDACIÓN!$B$1=1,OR(WEEKDAY(CALENDARIO!HM3,2)=6,WEEKDAY(CALENDARIO!HM3,2)=7)),1,IF(AND(LIQUIDACIÓN!$B$1=11,WEEKDAY(CALENDARIO!HM3,2)=7),1,0)))</f>
        <v>0</v>
      </c>
      <c r="HN1" s="69">
        <f>+IFERROR(VLOOKUP(HN3,nolaborales[[#All],[Fecha Presente]],1,FALSE),IF(AND(LIQUIDACIÓN!$B$1=1,OR(WEEKDAY(CALENDARIO!HN3,2)=6,WEEKDAY(CALENDARIO!HN3,2)=7)),1,IF(AND(LIQUIDACIÓN!$B$1=11,WEEKDAY(CALENDARIO!HN3,2)=7),1,0)))</f>
        <v>0</v>
      </c>
      <c r="HO1" s="69">
        <f>+IFERROR(VLOOKUP(HO3,nolaborales[[#All],[Fecha Presente]],1,FALSE),IF(AND(LIQUIDACIÓN!$B$1=1,OR(WEEKDAY(CALENDARIO!HO3,2)=6,WEEKDAY(CALENDARIO!HO3,2)=7)),1,IF(AND(LIQUIDACIÓN!$B$1=11,WEEKDAY(CALENDARIO!HO3,2)=7),1,0)))</f>
        <v>0</v>
      </c>
      <c r="HP1" s="69">
        <f>+IFERROR(VLOOKUP(HP3,nolaborales[[#All],[Fecha Presente]],1,FALSE),IF(AND(LIQUIDACIÓN!$B$1=1,OR(WEEKDAY(CALENDARIO!HP3,2)=6,WEEKDAY(CALENDARIO!HP3,2)=7)),1,IF(AND(LIQUIDACIÓN!$B$1=11,WEEKDAY(CALENDARIO!HP3,2)=7),1,0)))</f>
        <v>0</v>
      </c>
      <c r="HQ1" s="69">
        <f>+IFERROR(VLOOKUP(HQ3,nolaborales[[#All],[Fecha Presente]],1,FALSE),IF(AND(LIQUIDACIÓN!$B$1=1,OR(WEEKDAY(CALENDARIO!HQ3,2)=6,WEEKDAY(CALENDARIO!HQ3,2)=7)),1,IF(AND(LIQUIDACIÓN!$B$1=11,WEEKDAY(CALENDARIO!HQ3,2)=7),1,0)))</f>
        <v>1</v>
      </c>
      <c r="HR1" s="69">
        <f>+IFERROR(VLOOKUP(HR3,nolaborales[[#All],[Fecha Presente]],1,FALSE),IF(AND(LIQUIDACIÓN!$B$1=1,OR(WEEKDAY(CALENDARIO!HR3,2)=6,WEEKDAY(CALENDARIO!HR3,2)=7)),1,IF(AND(LIQUIDACIÓN!$B$1=11,WEEKDAY(CALENDARIO!HR3,2)=7),1,0)))</f>
        <v>1</v>
      </c>
      <c r="HS1" s="69">
        <f>+IFERROR(VLOOKUP(HS3,nolaborales[[#All],[Fecha Presente]],1,FALSE),IF(AND(LIQUIDACIÓN!$B$1=1,OR(WEEKDAY(CALENDARIO!HS3,2)=6,WEEKDAY(CALENDARIO!HS3,2)=7)),1,IF(AND(LIQUIDACIÓN!$B$1=11,WEEKDAY(CALENDARIO!HS3,2)=7),1,0)))</f>
        <v>0</v>
      </c>
      <c r="HT1" s="69">
        <f>+IFERROR(VLOOKUP(HT3,nolaborales[[#All],[Fecha Presente]],1,FALSE),IF(AND(LIQUIDACIÓN!$B$1=1,OR(WEEKDAY(CALENDARIO!HT3,2)=6,WEEKDAY(CALENDARIO!HT3,2)=7)),1,IF(AND(LIQUIDACIÓN!$B$1=11,WEEKDAY(CALENDARIO!HT3,2)=7),1,0)))</f>
        <v>0</v>
      </c>
      <c r="HU1" s="69">
        <f>+IFERROR(VLOOKUP(HU3,nolaborales[[#All],[Fecha Presente]],1,FALSE),IF(AND(LIQUIDACIÓN!$B$1=1,OR(WEEKDAY(CALENDARIO!HU3,2)=6,WEEKDAY(CALENDARIO!HU3,2)=7)),1,IF(AND(LIQUIDACIÓN!$B$1=11,WEEKDAY(CALENDARIO!HU3,2)=7),1,0)))</f>
        <v>0</v>
      </c>
      <c r="HV1" s="69">
        <f>+IFERROR(VLOOKUP(HV3,nolaborales[[#All],[Fecha Presente]],1,FALSE),IF(AND(LIQUIDACIÓN!$B$1=1,OR(WEEKDAY(CALENDARIO!HV3,2)=6,WEEKDAY(CALENDARIO!HV3,2)=7)),1,IF(AND(LIQUIDACIÓN!$B$1=11,WEEKDAY(CALENDARIO!HV3,2)=7),1,0)))</f>
        <v>0</v>
      </c>
      <c r="HW1" s="69">
        <f>+IFERROR(VLOOKUP(HW3,nolaborales[[#All],[Fecha Presente]],1,FALSE),IF(AND(LIQUIDACIÓN!$B$1=1,OR(WEEKDAY(CALENDARIO!HW3,2)=6,WEEKDAY(CALENDARIO!HW3,2)=7)),1,IF(AND(LIQUIDACIÓN!$B$1=11,WEEKDAY(CALENDARIO!HW3,2)=7),1,0)))</f>
        <v>0</v>
      </c>
      <c r="HX1" s="69">
        <f>+IFERROR(VLOOKUP(HX3,nolaborales[[#All],[Fecha Presente]],1,FALSE),IF(AND(LIQUIDACIÓN!$B$1=1,OR(WEEKDAY(CALENDARIO!HX3,2)=6,WEEKDAY(CALENDARIO!HX3,2)=7)),1,IF(AND(LIQUIDACIÓN!$B$1=11,WEEKDAY(CALENDARIO!HX3,2)=7),1,0)))</f>
        <v>1</v>
      </c>
      <c r="HY1" s="69">
        <f>+IFERROR(VLOOKUP(HY3,nolaborales[[#All],[Fecha Presente]],1,FALSE),IF(AND(LIQUIDACIÓN!$B$1=1,OR(WEEKDAY(CALENDARIO!HY3,2)=6,WEEKDAY(CALENDARIO!HY3,2)=7)),1,IF(AND(LIQUIDACIÓN!$B$1=11,WEEKDAY(CALENDARIO!HY3,2)=7),1,0)))</f>
        <v>44423</v>
      </c>
      <c r="HZ1" s="69">
        <f>+IFERROR(VLOOKUP(HZ3,nolaborales[[#All],[Fecha Presente]],1,FALSE),IF(AND(LIQUIDACIÓN!$B$1=1,OR(WEEKDAY(CALENDARIO!HZ3,2)=6,WEEKDAY(CALENDARIO!HZ3,2)=7)),1,IF(AND(LIQUIDACIÓN!$B$1=11,WEEKDAY(CALENDARIO!HZ3,2)=7),1,0)))</f>
        <v>0</v>
      </c>
      <c r="IA1" s="69">
        <f>+IFERROR(VLOOKUP(IA3,nolaborales[[#All],[Fecha Presente]],1,FALSE),IF(AND(LIQUIDACIÓN!$B$1=1,OR(WEEKDAY(CALENDARIO!IA3,2)=6,WEEKDAY(CALENDARIO!IA3,2)=7)),1,IF(AND(LIQUIDACIÓN!$B$1=11,WEEKDAY(CALENDARIO!IA3,2)=7),1,0)))</f>
        <v>0</v>
      </c>
      <c r="IB1" s="69">
        <f>+IFERROR(VLOOKUP(IB3,nolaborales[[#All],[Fecha Presente]],1,FALSE),IF(AND(LIQUIDACIÓN!$B$1=1,OR(WEEKDAY(CALENDARIO!IB3,2)=6,WEEKDAY(CALENDARIO!IB3,2)=7)),1,IF(AND(LIQUIDACIÓN!$B$1=11,WEEKDAY(CALENDARIO!IB3,2)=7),1,0)))</f>
        <v>0</v>
      </c>
      <c r="IC1" s="69">
        <f>+IFERROR(VLOOKUP(IC3,nolaborales[[#All],[Fecha Presente]],1,FALSE),IF(AND(LIQUIDACIÓN!$B$1=1,OR(WEEKDAY(CALENDARIO!IC3,2)=6,WEEKDAY(CALENDARIO!IC3,2)=7)),1,IF(AND(LIQUIDACIÓN!$B$1=11,WEEKDAY(CALENDARIO!IC3,2)=7),1,0)))</f>
        <v>0</v>
      </c>
      <c r="ID1" s="69">
        <f>+IFERROR(VLOOKUP(ID3,nolaborales[[#All],[Fecha Presente]],1,FALSE),IF(AND(LIQUIDACIÓN!$B$1=1,OR(WEEKDAY(CALENDARIO!ID3,2)=6,WEEKDAY(CALENDARIO!ID3,2)=7)),1,IF(AND(LIQUIDACIÓN!$B$1=11,WEEKDAY(CALENDARIO!ID3,2)=7),1,0)))</f>
        <v>0</v>
      </c>
      <c r="IE1" s="69">
        <f>+IFERROR(VLOOKUP(IE3,nolaborales[[#All],[Fecha Presente]],1,FALSE),IF(AND(LIQUIDACIÓN!$B$1=1,OR(WEEKDAY(CALENDARIO!IE3,2)=6,WEEKDAY(CALENDARIO!IE3,2)=7)),1,IF(AND(LIQUIDACIÓN!$B$1=11,WEEKDAY(CALENDARIO!IE3,2)=7),1,0)))</f>
        <v>1</v>
      </c>
      <c r="IF1" s="69">
        <f>+IFERROR(VLOOKUP(IF3,nolaborales[[#All],[Fecha Presente]],1,FALSE),IF(AND(LIQUIDACIÓN!$B$1=1,OR(WEEKDAY(CALENDARIO!IF3,2)=6,WEEKDAY(CALENDARIO!IF3,2)=7)),1,IF(AND(LIQUIDACIÓN!$B$1=11,WEEKDAY(CALENDARIO!IF3,2)=7),1,0)))</f>
        <v>1</v>
      </c>
      <c r="IG1" s="69">
        <f>+IFERROR(VLOOKUP(IG3,nolaborales[[#All],[Fecha Presente]],1,FALSE),IF(AND(LIQUIDACIÓN!$B$1=1,OR(WEEKDAY(CALENDARIO!IG3,2)=6,WEEKDAY(CALENDARIO!IG3,2)=7)),1,IF(AND(LIQUIDACIÓN!$B$1=11,WEEKDAY(CALENDARIO!IG3,2)=7),1,0)))</f>
        <v>0</v>
      </c>
      <c r="IH1" s="69">
        <f>+IFERROR(VLOOKUP(IH3,nolaborales[[#All],[Fecha Presente]],1,FALSE),IF(AND(LIQUIDACIÓN!$B$1=1,OR(WEEKDAY(CALENDARIO!IH3,2)=6,WEEKDAY(CALENDARIO!IH3,2)=7)),1,IF(AND(LIQUIDACIÓN!$B$1=11,WEEKDAY(CALENDARIO!IH3,2)=7),1,0)))</f>
        <v>0</v>
      </c>
      <c r="II1" s="69">
        <f>+IFERROR(VLOOKUP(II3,nolaborales[[#All],[Fecha Presente]],1,FALSE),IF(AND(LIQUIDACIÓN!$B$1=1,OR(WEEKDAY(CALENDARIO!II3,2)=6,WEEKDAY(CALENDARIO!II3,2)=7)),1,IF(AND(LIQUIDACIÓN!$B$1=11,WEEKDAY(CALENDARIO!II3,2)=7),1,0)))</f>
        <v>0</v>
      </c>
      <c r="IJ1" s="69">
        <f>+IFERROR(VLOOKUP(IJ3,nolaborales[[#All],[Fecha Presente]],1,FALSE),IF(AND(LIQUIDACIÓN!$B$1=1,OR(WEEKDAY(CALENDARIO!IJ3,2)=6,WEEKDAY(CALENDARIO!IJ3,2)=7)),1,IF(AND(LIQUIDACIÓN!$B$1=11,WEEKDAY(CALENDARIO!IJ3,2)=7),1,0)))</f>
        <v>0</v>
      </c>
      <c r="IK1" s="69">
        <f>+IFERROR(VLOOKUP(IK3,nolaborales[[#All],[Fecha Presente]],1,FALSE),IF(AND(LIQUIDACIÓN!$B$1=1,OR(WEEKDAY(CALENDARIO!IK3,2)=6,WEEKDAY(CALENDARIO!IK3,2)=7)),1,IF(AND(LIQUIDACIÓN!$B$1=11,WEEKDAY(CALENDARIO!IK3,2)=7),1,0)))</f>
        <v>0</v>
      </c>
      <c r="IL1" s="69">
        <f>+IFERROR(VLOOKUP(IL3,nolaborales[[#All],[Fecha Presente]],1,FALSE),IF(AND(LIQUIDACIÓN!$B$1=1,OR(WEEKDAY(CALENDARIO!IL3,2)=6,WEEKDAY(CALENDARIO!IL3,2)=7)),1,IF(AND(LIQUIDACIÓN!$B$1=11,WEEKDAY(CALENDARIO!IL3,2)=7),1,0)))</f>
        <v>1</v>
      </c>
      <c r="IM1" s="69">
        <f>+IFERROR(VLOOKUP(IM3,nolaborales[[#All],[Fecha Presente]],1,FALSE),IF(AND(LIQUIDACIÓN!$B$1=1,OR(WEEKDAY(CALENDARIO!IM3,2)=6,WEEKDAY(CALENDARIO!IM3,2)=7)),1,IF(AND(LIQUIDACIÓN!$B$1=11,WEEKDAY(CALENDARIO!IM3,2)=7),1,0)))</f>
        <v>1</v>
      </c>
      <c r="IN1" s="69">
        <f>+IFERROR(VLOOKUP(IN3,nolaborales[[#All],[Fecha Presente]],1,FALSE),IF(AND(LIQUIDACIÓN!$B$1=1,OR(WEEKDAY(CALENDARIO!IN3,2)=6,WEEKDAY(CALENDARIO!IN3,2)=7)),1,IF(AND(LIQUIDACIÓN!$B$1=11,WEEKDAY(CALENDARIO!IN3,2)=7),1,0)))</f>
        <v>0</v>
      </c>
      <c r="IO1" s="69">
        <f>+IFERROR(VLOOKUP(IO3,nolaborales[[#All],[Fecha Presente]],1,FALSE),IF(AND(LIQUIDACIÓN!$B$1=1,OR(WEEKDAY(CALENDARIO!IO3,2)=6,WEEKDAY(CALENDARIO!IO3,2)=7)),1,IF(AND(LIQUIDACIÓN!$B$1=11,WEEKDAY(CALENDARIO!IO3,2)=7),1,0)))</f>
        <v>0</v>
      </c>
      <c r="IP1" s="69">
        <f>+IFERROR(VLOOKUP(IP3,nolaborales[[#All],[Fecha Presente]],1,FALSE),IF(AND(LIQUIDACIÓN!$B$1=1,OR(WEEKDAY(CALENDARIO!IP3,2)=6,WEEKDAY(CALENDARIO!IP3,2)=7)),1,IF(AND(LIQUIDACIÓN!$B$1=11,WEEKDAY(CALENDARIO!IP3,2)=7),1,0)))</f>
        <v>0</v>
      </c>
      <c r="IQ1" s="69">
        <f>+IFERROR(VLOOKUP(IQ3,nolaborales[[#All],[Fecha Presente]],1,FALSE),IF(AND(LIQUIDACIÓN!$B$1=1,OR(WEEKDAY(CALENDARIO!IQ3,2)=6,WEEKDAY(CALENDARIO!IQ3,2)=7)),1,IF(AND(LIQUIDACIÓN!$B$1=11,WEEKDAY(CALENDARIO!IQ3,2)=7),1,0)))</f>
        <v>0</v>
      </c>
      <c r="IR1" s="69">
        <f>+IFERROR(VLOOKUP(IR3,nolaborales[[#All],[Fecha Presente]],1,FALSE),IF(AND(LIQUIDACIÓN!$B$1=1,OR(WEEKDAY(CALENDARIO!IR3,2)=6,WEEKDAY(CALENDARIO!IR3,2)=7)),1,IF(AND(LIQUIDACIÓN!$B$1=11,WEEKDAY(CALENDARIO!IR3,2)=7),1,0)))</f>
        <v>0</v>
      </c>
      <c r="IS1" s="69">
        <f>+IFERROR(VLOOKUP(IS3,nolaborales[[#All],[Fecha Presente]],1,FALSE),IF(AND(LIQUIDACIÓN!$B$1=1,OR(WEEKDAY(CALENDARIO!IS3,2)=6,WEEKDAY(CALENDARIO!IS3,2)=7)),1,IF(AND(LIQUIDACIÓN!$B$1=11,WEEKDAY(CALENDARIO!IS3,2)=7),1,0)))</f>
        <v>1</v>
      </c>
      <c r="IT1" s="69">
        <f>+IFERROR(VLOOKUP(IT3,nolaborales[[#All],[Fecha Presente]],1,FALSE),IF(AND(LIQUIDACIÓN!$B$1=1,OR(WEEKDAY(CALENDARIO!IT3,2)=6,WEEKDAY(CALENDARIO!IT3,2)=7)),1,IF(AND(LIQUIDACIÓN!$B$1=11,WEEKDAY(CALENDARIO!IT3,2)=7),1,0)))</f>
        <v>1</v>
      </c>
      <c r="IU1" s="69">
        <f>+IFERROR(VLOOKUP(IU3,nolaborales[[#All],[Fecha Presente]],1,FALSE),IF(AND(LIQUIDACIÓN!$B$1=1,OR(WEEKDAY(CALENDARIO!IU3,2)=6,WEEKDAY(CALENDARIO!IU3,2)=7)),1,IF(AND(LIQUIDACIÓN!$B$1=11,WEEKDAY(CALENDARIO!IU3,2)=7),1,0)))</f>
        <v>0</v>
      </c>
      <c r="IV1" s="69">
        <f>+IFERROR(VLOOKUP(IV3,nolaborales[[#All],[Fecha Presente]],1,FALSE),IF(AND(LIQUIDACIÓN!$B$1=1,OR(WEEKDAY(CALENDARIO!IV3,2)=6,WEEKDAY(CALENDARIO!IV3,2)=7)),1,IF(AND(LIQUIDACIÓN!$B$1=11,WEEKDAY(CALENDARIO!IV3,2)=7),1,0)))</f>
        <v>0</v>
      </c>
      <c r="IW1" s="69">
        <f>+IFERROR(VLOOKUP(IW3,nolaborales[[#All],[Fecha Presente]],1,FALSE),IF(AND(LIQUIDACIÓN!$B$1=1,OR(WEEKDAY(CALENDARIO!IW3,2)=6,WEEKDAY(CALENDARIO!IW3,2)=7)),1,IF(AND(LIQUIDACIÓN!$B$1=11,WEEKDAY(CALENDARIO!IW3,2)=7),1,0)))</f>
        <v>0</v>
      </c>
      <c r="IX1" s="69">
        <f>+IFERROR(VLOOKUP(IX3,nolaborales[[#All],[Fecha Presente]],1,FALSE),IF(AND(LIQUIDACIÓN!$B$1=1,OR(WEEKDAY(CALENDARIO!IX3,2)=6,WEEKDAY(CALENDARIO!IX3,2)=7)),1,IF(AND(LIQUIDACIÓN!$B$1=11,WEEKDAY(CALENDARIO!IX3,2)=7),1,0)))</f>
        <v>0</v>
      </c>
      <c r="IY1" s="69">
        <f>+IFERROR(VLOOKUP(IY3,nolaborales[[#All],[Fecha Presente]],1,FALSE),IF(AND(LIQUIDACIÓN!$B$1=1,OR(WEEKDAY(CALENDARIO!IY3,2)=6,WEEKDAY(CALENDARIO!IY3,2)=7)),1,IF(AND(LIQUIDACIÓN!$B$1=11,WEEKDAY(CALENDARIO!IY3,2)=7),1,0)))</f>
        <v>0</v>
      </c>
      <c r="IZ1" s="69">
        <f>+IFERROR(VLOOKUP(IZ3,nolaborales[[#All],[Fecha Presente]],1,FALSE),IF(AND(LIQUIDACIÓN!$B$1=1,OR(WEEKDAY(CALENDARIO!IZ3,2)=6,WEEKDAY(CALENDARIO!IZ3,2)=7)),1,IF(AND(LIQUIDACIÓN!$B$1=11,WEEKDAY(CALENDARIO!IZ3,2)=7),1,0)))</f>
        <v>1</v>
      </c>
      <c r="JA1" s="69">
        <f>+IFERROR(VLOOKUP(JA3,nolaborales[[#All],[Fecha Presente]],1,FALSE),IF(AND(LIQUIDACIÓN!$B$1=1,OR(WEEKDAY(CALENDARIO!JA3,2)=6,WEEKDAY(CALENDARIO!JA3,2)=7)),1,IF(AND(LIQUIDACIÓN!$B$1=11,WEEKDAY(CALENDARIO!JA3,2)=7),1,0)))</f>
        <v>1</v>
      </c>
      <c r="JB1" s="69">
        <f>+IFERROR(VLOOKUP(JB3,nolaborales[[#All],[Fecha Presente]],1,FALSE),IF(AND(LIQUIDACIÓN!$B$1=1,OR(WEEKDAY(CALENDARIO!JB3,2)=6,WEEKDAY(CALENDARIO!JB3,2)=7)),1,IF(AND(LIQUIDACIÓN!$B$1=11,WEEKDAY(CALENDARIO!JB3,2)=7),1,0)))</f>
        <v>0</v>
      </c>
      <c r="JC1" s="69">
        <f>+IFERROR(VLOOKUP(JC3,nolaborales[[#All],[Fecha Presente]],1,FALSE),IF(AND(LIQUIDACIÓN!$B$1=1,OR(WEEKDAY(CALENDARIO!JC3,2)=6,WEEKDAY(CALENDARIO!JC3,2)=7)),1,IF(AND(LIQUIDACIÓN!$B$1=11,WEEKDAY(CALENDARIO!JC3,2)=7),1,0)))</f>
        <v>0</v>
      </c>
      <c r="JD1" s="69">
        <f>+IFERROR(VLOOKUP(JD3,nolaborales[[#All],[Fecha Presente]],1,FALSE),IF(AND(LIQUIDACIÓN!$B$1=1,OR(WEEKDAY(CALENDARIO!JD3,2)=6,WEEKDAY(CALENDARIO!JD3,2)=7)),1,IF(AND(LIQUIDACIÓN!$B$1=11,WEEKDAY(CALENDARIO!JD3,2)=7),1,0)))</f>
        <v>0</v>
      </c>
      <c r="JE1" s="69">
        <f>+IFERROR(VLOOKUP(JE3,nolaborales[[#All],[Fecha Presente]],1,FALSE),IF(AND(LIQUIDACIÓN!$B$1=1,OR(WEEKDAY(CALENDARIO!JE3,2)=6,WEEKDAY(CALENDARIO!JE3,2)=7)),1,IF(AND(LIQUIDACIÓN!$B$1=11,WEEKDAY(CALENDARIO!JE3,2)=7),1,0)))</f>
        <v>0</v>
      </c>
      <c r="JF1" s="69">
        <f>+IFERROR(VLOOKUP(JF3,nolaborales[[#All],[Fecha Presente]],1,FALSE),IF(AND(LIQUIDACIÓN!$B$1=1,OR(WEEKDAY(CALENDARIO!JF3,2)=6,WEEKDAY(CALENDARIO!JF3,2)=7)),1,IF(AND(LIQUIDACIÓN!$B$1=11,WEEKDAY(CALENDARIO!JF3,2)=7),1,0)))</f>
        <v>0</v>
      </c>
      <c r="JG1" s="69">
        <f>+IFERROR(VLOOKUP(JG3,nolaborales[[#All],[Fecha Presente]],1,FALSE),IF(AND(LIQUIDACIÓN!$B$1=1,OR(WEEKDAY(CALENDARIO!JG3,2)=6,WEEKDAY(CALENDARIO!JG3,2)=7)),1,IF(AND(LIQUIDACIÓN!$B$1=11,WEEKDAY(CALENDARIO!JG3,2)=7),1,0)))</f>
        <v>1</v>
      </c>
      <c r="JH1" s="69">
        <f>+IFERROR(VLOOKUP(JH3,nolaborales[[#All],[Fecha Presente]],1,FALSE),IF(AND(LIQUIDACIÓN!$B$1=1,OR(WEEKDAY(CALENDARIO!JH3,2)=6,WEEKDAY(CALENDARIO!JH3,2)=7)),1,IF(AND(LIQUIDACIÓN!$B$1=11,WEEKDAY(CALENDARIO!JH3,2)=7),1,0)))</f>
        <v>1</v>
      </c>
      <c r="JI1" s="69">
        <f>+IFERROR(VLOOKUP(JI3,nolaborales[[#All],[Fecha Presente]],1,FALSE),IF(AND(LIQUIDACIÓN!$B$1=1,OR(WEEKDAY(CALENDARIO!JI3,2)=6,WEEKDAY(CALENDARIO!JI3,2)=7)),1,IF(AND(LIQUIDACIÓN!$B$1=11,WEEKDAY(CALENDARIO!JI3,2)=7),1,0)))</f>
        <v>0</v>
      </c>
      <c r="JJ1" s="69">
        <f>+IFERROR(VLOOKUP(JJ3,nolaborales[[#All],[Fecha Presente]],1,FALSE),IF(AND(LIQUIDACIÓN!$B$1=1,OR(WEEKDAY(CALENDARIO!JJ3,2)=6,WEEKDAY(CALENDARIO!JJ3,2)=7)),1,IF(AND(LIQUIDACIÓN!$B$1=11,WEEKDAY(CALENDARIO!JJ3,2)=7),1,0)))</f>
        <v>0</v>
      </c>
      <c r="JK1" s="69">
        <f>+IFERROR(VLOOKUP(JK3,nolaborales[[#All],[Fecha Presente]],1,FALSE),IF(AND(LIQUIDACIÓN!$B$1=1,OR(WEEKDAY(CALENDARIO!JK3,2)=6,WEEKDAY(CALENDARIO!JK3,2)=7)),1,IF(AND(LIQUIDACIÓN!$B$1=11,WEEKDAY(CALENDARIO!JK3,2)=7),1,0)))</f>
        <v>0</v>
      </c>
      <c r="JL1" s="69">
        <f>+IFERROR(VLOOKUP(JL3,nolaborales[[#All],[Fecha Presente]],1,FALSE),IF(AND(LIQUIDACIÓN!$B$1=1,OR(WEEKDAY(CALENDARIO!JL3,2)=6,WEEKDAY(CALENDARIO!JL3,2)=7)),1,IF(AND(LIQUIDACIÓN!$B$1=11,WEEKDAY(CALENDARIO!JL3,2)=7),1,0)))</f>
        <v>0</v>
      </c>
      <c r="JM1" s="69">
        <f>+IFERROR(VLOOKUP(JM3,nolaborales[[#All],[Fecha Presente]],1,FALSE),IF(AND(LIQUIDACIÓN!$B$1=1,OR(WEEKDAY(CALENDARIO!JM3,2)=6,WEEKDAY(CALENDARIO!JM3,2)=7)),1,IF(AND(LIQUIDACIÓN!$B$1=11,WEEKDAY(CALENDARIO!JM3,2)=7),1,0)))</f>
        <v>0</v>
      </c>
      <c r="JN1" s="69">
        <f>+IFERROR(VLOOKUP(JN3,nolaborales[[#All],[Fecha Presente]],1,FALSE),IF(AND(LIQUIDACIÓN!$B$1=1,OR(WEEKDAY(CALENDARIO!JN3,2)=6,WEEKDAY(CALENDARIO!JN3,2)=7)),1,IF(AND(LIQUIDACIÓN!$B$1=11,WEEKDAY(CALENDARIO!JN3,2)=7),1,0)))</f>
        <v>1</v>
      </c>
      <c r="JO1" s="69">
        <f>+IFERROR(VLOOKUP(JO3,nolaborales[[#All],[Fecha Presente]],1,FALSE),IF(AND(LIQUIDACIÓN!$B$1=1,OR(WEEKDAY(CALENDARIO!JO3,2)=6,WEEKDAY(CALENDARIO!JO3,2)=7)),1,IF(AND(LIQUIDACIÓN!$B$1=11,WEEKDAY(CALENDARIO!JO3,2)=7),1,0)))</f>
        <v>1</v>
      </c>
      <c r="JP1" s="69">
        <f>+IFERROR(VLOOKUP(JP3,nolaborales[[#All],[Fecha Presente]],1,FALSE),IF(AND(LIQUIDACIÓN!$B$1=1,OR(WEEKDAY(CALENDARIO!JP3,2)=6,WEEKDAY(CALENDARIO!JP3,2)=7)),1,IF(AND(LIQUIDACIÓN!$B$1=11,WEEKDAY(CALENDARIO!JP3,2)=7),1,0)))</f>
        <v>0</v>
      </c>
      <c r="JQ1" s="69">
        <f>+IFERROR(VLOOKUP(JQ3,nolaborales[[#All],[Fecha Presente]],1,FALSE),IF(AND(LIQUIDACIÓN!$B$1=1,OR(WEEKDAY(CALENDARIO!JQ3,2)=6,WEEKDAY(CALENDARIO!JQ3,2)=7)),1,IF(AND(LIQUIDACIÓN!$B$1=11,WEEKDAY(CALENDARIO!JQ3,2)=7),1,0)))</f>
        <v>0</v>
      </c>
      <c r="JR1" s="69">
        <f>+IFERROR(VLOOKUP(JR3,nolaborales[[#All],[Fecha Presente]],1,FALSE),IF(AND(LIQUIDACIÓN!$B$1=1,OR(WEEKDAY(CALENDARIO!JR3,2)=6,WEEKDAY(CALENDARIO!JR3,2)=7)),1,IF(AND(LIQUIDACIÓN!$B$1=11,WEEKDAY(CALENDARIO!JR3,2)=7),1,0)))</f>
        <v>0</v>
      </c>
      <c r="JS1" s="69">
        <f>+IFERROR(VLOOKUP(JS3,nolaborales[[#All],[Fecha Presente]],1,FALSE),IF(AND(LIQUIDACIÓN!$B$1=1,OR(WEEKDAY(CALENDARIO!JS3,2)=6,WEEKDAY(CALENDARIO!JS3,2)=7)),1,IF(AND(LIQUIDACIÓN!$B$1=11,WEEKDAY(CALENDARIO!JS3,2)=7),1,0)))</f>
        <v>0</v>
      </c>
      <c r="JT1" s="69">
        <f>+IFERROR(VLOOKUP(JT3,nolaborales[[#All],[Fecha Presente]],1,FALSE),IF(AND(LIQUIDACIÓN!$B$1=1,OR(WEEKDAY(CALENDARIO!JT3,2)=6,WEEKDAY(CALENDARIO!JT3,2)=7)),1,IF(AND(LIQUIDACIÓN!$B$1=11,WEEKDAY(CALENDARIO!JT3,2)=7),1,0)))</f>
        <v>0</v>
      </c>
      <c r="JU1" s="69">
        <f>+IFERROR(VLOOKUP(JU3,nolaborales[[#All],[Fecha Presente]],1,FALSE),IF(AND(LIQUIDACIÓN!$B$1=1,OR(WEEKDAY(CALENDARIO!JU3,2)=6,WEEKDAY(CALENDARIO!JU3,2)=7)),1,IF(AND(LIQUIDACIÓN!$B$1=11,WEEKDAY(CALENDARIO!JU3,2)=7),1,0)))</f>
        <v>1</v>
      </c>
      <c r="JV1" s="69">
        <f>+IFERROR(VLOOKUP(JV3,nolaborales[[#All],[Fecha Presente]],1,FALSE),IF(AND(LIQUIDACIÓN!$B$1=1,OR(WEEKDAY(CALENDARIO!JV3,2)=6,WEEKDAY(CALENDARIO!JV3,2)=7)),1,IF(AND(LIQUIDACIÓN!$B$1=11,WEEKDAY(CALENDARIO!JV3,2)=7),1,0)))</f>
        <v>1</v>
      </c>
      <c r="JW1" s="69">
        <f>+IFERROR(VLOOKUP(JW3,nolaborales[[#All],[Fecha Presente]],1,FALSE),IF(AND(LIQUIDACIÓN!$B$1=1,OR(WEEKDAY(CALENDARIO!JW3,2)=6,WEEKDAY(CALENDARIO!JW3,2)=7)),1,IF(AND(LIQUIDACIÓN!$B$1=11,WEEKDAY(CALENDARIO!JW3,2)=7),1,0)))</f>
        <v>0</v>
      </c>
      <c r="JX1" s="69">
        <f>+IFERROR(VLOOKUP(JX3,nolaborales[[#All],[Fecha Presente]],1,FALSE),IF(AND(LIQUIDACIÓN!$B$1=1,OR(WEEKDAY(CALENDARIO!JX3,2)=6,WEEKDAY(CALENDARIO!JX3,2)=7)),1,IF(AND(LIQUIDACIÓN!$B$1=11,WEEKDAY(CALENDARIO!JX3,2)=7),1,0)))</f>
        <v>0</v>
      </c>
      <c r="JY1" s="69">
        <f>+IFERROR(VLOOKUP(JY3,nolaborales[[#All],[Fecha Presente]],1,FALSE),IF(AND(LIQUIDACIÓN!$B$1=1,OR(WEEKDAY(CALENDARIO!JY3,2)=6,WEEKDAY(CALENDARIO!JY3,2)=7)),1,IF(AND(LIQUIDACIÓN!$B$1=11,WEEKDAY(CALENDARIO!JY3,2)=7),1,0)))</f>
        <v>0</v>
      </c>
      <c r="JZ1" s="69">
        <f>+IFERROR(VLOOKUP(JZ3,nolaborales[[#All],[Fecha Presente]],1,FALSE),IF(AND(LIQUIDACIÓN!$B$1=1,OR(WEEKDAY(CALENDARIO!JZ3,2)=6,WEEKDAY(CALENDARIO!JZ3,2)=7)),1,IF(AND(LIQUIDACIÓN!$B$1=11,WEEKDAY(CALENDARIO!JZ3,2)=7),1,0)))</f>
        <v>0</v>
      </c>
      <c r="KA1" s="69">
        <f>+IFERROR(VLOOKUP(KA3,nolaborales[[#All],[Fecha Presente]],1,FALSE),IF(AND(LIQUIDACIÓN!$B$1=1,OR(WEEKDAY(CALENDARIO!KA3,2)=6,WEEKDAY(CALENDARIO!KA3,2)=7)),1,IF(AND(LIQUIDACIÓN!$B$1=11,WEEKDAY(CALENDARIO!KA3,2)=7),1,0)))</f>
        <v>0</v>
      </c>
      <c r="KB1" s="69">
        <f>+IFERROR(VLOOKUP(KB3,nolaborales[[#All],[Fecha Presente]],1,FALSE),IF(AND(LIQUIDACIÓN!$B$1=1,OR(WEEKDAY(CALENDARIO!KB3,2)=6,WEEKDAY(CALENDARIO!KB3,2)=7)),1,IF(AND(LIQUIDACIÓN!$B$1=11,WEEKDAY(CALENDARIO!KB3,2)=7),1,0)))</f>
        <v>1</v>
      </c>
      <c r="KC1" s="69">
        <f>+IFERROR(VLOOKUP(KC3,nolaborales[[#All],[Fecha Presente]],1,FALSE),IF(AND(LIQUIDACIÓN!$B$1=1,OR(WEEKDAY(CALENDARIO!KC3,2)=6,WEEKDAY(CALENDARIO!KC3,2)=7)),1,IF(AND(LIQUIDACIÓN!$B$1=11,WEEKDAY(CALENDARIO!KC3,2)=7),1,0)))</f>
        <v>1</v>
      </c>
      <c r="KD1" s="69">
        <f>+IFERROR(VLOOKUP(KD3,nolaborales[[#All],[Fecha Presente]],1,FALSE),IF(AND(LIQUIDACIÓN!$B$1=1,OR(WEEKDAY(CALENDARIO!KD3,2)=6,WEEKDAY(CALENDARIO!KD3,2)=7)),1,IF(AND(LIQUIDACIÓN!$B$1=11,WEEKDAY(CALENDARIO!KD3,2)=7),1,0)))</f>
        <v>0</v>
      </c>
      <c r="KE1" s="69">
        <f>+IFERROR(VLOOKUP(KE3,nolaborales[[#All],[Fecha Presente]],1,FALSE),IF(AND(LIQUIDACIÓN!$B$1=1,OR(WEEKDAY(CALENDARIO!KE3,2)=6,WEEKDAY(CALENDARIO!KE3,2)=7)),1,IF(AND(LIQUIDACIÓN!$B$1=11,WEEKDAY(CALENDARIO!KE3,2)=7),1,0)))</f>
        <v>44481</v>
      </c>
      <c r="KF1" s="69">
        <f>+IFERROR(VLOOKUP(KF3,nolaborales[[#All],[Fecha Presente]],1,FALSE),IF(AND(LIQUIDACIÓN!$B$1=1,OR(WEEKDAY(CALENDARIO!KF3,2)=6,WEEKDAY(CALENDARIO!KF3,2)=7)),1,IF(AND(LIQUIDACIÓN!$B$1=11,WEEKDAY(CALENDARIO!KF3,2)=7),1,0)))</f>
        <v>0</v>
      </c>
      <c r="KG1" s="69">
        <f>+IFERROR(VLOOKUP(KG3,nolaborales[[#All],[Fecha Presente]],1,FALSE),IF(AND(LIQUIDACIÓN!$B$1=1,OR(WEEKDAY(CALENDARIO!KG3,2)=6,WEEKDAY(CALENDARIO!KG3,2)=7)),1,IF(AND(LIQUIDACIÓN!$B$1=11,WEEKDAY(CALENDARIO!KG3,2)=7),1,0)))</f>
        <v>0</v>
      </c>
      <c r="KH1" s="69">
        <f>+IFERROR(VLOOKUP(KH3,nolaborales[[#All],[Fecha Presente]],1,FALSE),IF(AND(LIQUIDACIÓN!$B$1=1,OR(WEEKDAY(CALENDARIO!KH3,2)=6,WEEKDAY(CALENDARIO!KH3,2)=7)),1,IF(AND(LIQUIDACIÓN!$B$1=11,WEEKDAY(CALENDARIO!KH3,2)=7),1,0)))</f>
        <v>0</v>
      </c>
      <c r="KI1" s="69">
        <f>+IFERROR(VLOOKUP(KI3,nolaborales[[#All],[Fecha Presente]],1,FALSE),IF(AND(LIQUIDACIÓN!$B$1=1,OR(WEEKDAY(CALENDARIO!KI3,2)=6,WEEKDAY(CALENDARIO!KI3,2)=7)),1,IF(AND(LIQUIDACIÓN!$B$1=11,WEEKDAY(CALENDARIO!KI3,2)=7),1,0)))</f>
        <v>1</v>
      </c>
      <c r="KJ1" s="69">
        <f>+IFERROR(VLOOKUP(KJ3,nolaborales[[#All],[Fecha Presente]],1,FALSE),IF(AND(LIQUIDACIÓN!$B$1=1,OR(WEEKDAY(CALENDARIO!KJ3,2)=6,WEEKDAY(CALENDARIO!KJ3,2)=7)),1,IF(AND(LIQUIDACIÓN!$B$1=11,WEEKDAY(CALENDARIO!KJ3,2)=7),1,0)))</f>
        <v>1</v>
      </c>
      <c r="KK1" s="69">
        <f>+IFERROR(VLOOKUP(KK3,nolaborales[[#All],[Fecha Presente]],1,FALSE),IF(AND(LIQUIDACIÓN!$B$1=1,OR(WEEKDAY(CALENDARIO!KK3,2)=6,WEEKDAY(CALENDARIO!KK3,2)=7)),1,IF(AND(LIQUIDACIÓN!$B$1=11,WEEKDAY(CALENDARIO!KK3,2)=7),1,0)))</f>
        <v>0</v>
      </c>
      <c r="KL1" s="69">
        <f>+IFERROR(VLOOKUP(KL3,nolaborales[[#All],[Fecha Presente]],1,FALSE),IF(AND(LIQUIDACIÓN!$B$1=1,OR(WEEKDAY(CALENDARIO!KL3,2)=6,WEEKDAY(CALENDARIO!KL3,2)=7)),1,IF(AND(LIQUIDACIÓN!$B$1=11,WEEKDAY(CALENDARIO!KL3,2)=7),1,0)))</f>
        <v>0</v>
      </c>
      <c r="KM1" s="69">
        <f>+IFERROR(VLOOKUP(KM3,nolaborales[[#All],[Fecha Presente]],1,FALSE),IF(AND(LIQUIDACIÓN!$B$1=1,OR(WEEKDAY(CALENDARIO!KM3,2)=6,WEEKDAY(CALENDARIO!KM3,2)=7)),1,IF(AND(LIQUIDACIÓN!$B$1=11,WEEKDAY(CALENDARIO!KM3,2)=7),1,0)))</f>
        <v>0</v>
      </c>
      <c r="KN1" s="69">
        <f>+IFERROR(VLOOKUP(KN3,nolaborales[[#All],[Fecha Presente]],1,FALSE),IF(AND(LIQUIDACIÓN!$B$1=1,OR(WEEKDAY(CALENDARIO!KN3,2)=6,WEEKDAY(CALENDARIO!KN3,2)=7)),1,IF(AND(LIQUIDACIÓN!$B$1=11,WEEKDAY(CALENDARIO!KN3,2)=7),1,0)))</f>
        <v>0</v>
      </c>
      <c r="KO1" s="69">
        <f>+IFERROR(VLOOKUP(KO3,nolaborales[[#All],[Fecha Presente]],1,FALSE),IF(AND(LIQUIDACIÓN!$B$1=1,OR(WEEKDAY(CALENDARIO!KO3,2)=6,WEEKDAY(CALENDARIO!KO3,2)=7)),1,IF(AND(LIQUIDACIÓN!$B$1=11,WEEKDAY(CALENDARIO!KO3,2)=7),1,0)))</f>
        <v>0</v>
      </c>
      <c r="KP1" s="69">
        <f>+IFERROR(VLOOKUP(KP3,nolaborales[[#All],[Fecha Presente]],1,FALSE),IF(AND(LIQUIDACIÓN!$B$1=1,OR(WEEKDAY(CALENDARIO!KP3,2)=6,WEEKDAY(CALENDARIO!KP3,2)=7)),1,IF(AND(LIQUIDACIÓN!$B$1=11,WEEKDAY(CALENDARIO!KP3,2)=7),1,0)))</f>
        <v>1</v>
      </c>
      <c r="KQ1" s="69">
        <f>+IFERROR(VLOOKUP(KQ3,nolaborales[[#All],[Fecha Presente]],1,FALSE),IF(AND(LIQUIDACIÓN!$B$1=1,OR(WEEKDAY(CALENDARIO!KQ3,2)=6,WEEKDAY(CALENDARIO!KQ3,2)=7)),1,IF(AND(LIQUIDACIÓN!$B$1=11,WEEKDAY(CALENDARIO!KQ3,2)=7),1,0)))</f>
        <v>1</v>
      </c>
      <c r="KR1" s="69">
        <f>+IFERROR(VLOOKUP(KR3,nolaborales[[#All],[Fecha Presente]],1,FALSE),IF(AND(LIQUIDACIÓN!$B$1=1,OR(WEEKDAY(CALENDARIO!KR3,2)=6,WEEKDAY(CALENDARIO!KR3,2)=7)),1,IF(AND(LIQUIDACIÓN!$B$1=11,WEEKDAY(CALENDARIO!KR3,2)=7),1,0)))</f>
        <v>0</v>
      </c>
      <c r="KS1" s="69">
        <f>+IFERROR(VLOOKUP(KS3,nolaborales[[#All],[Fecha Presente]],1,FALSE),IF(AND(LIQUIDACIÓN!$B$1=1,OR(WEEKDAY(CALENDARIO!KS3,2)=6,WEEKDAY(CALENDARIO!KS3,2)=7)),1,IF(AND(LIQUIDACIÓN!$B$1=11,WEEKDAY(CALENDARIO!KS3,2)=7),1,0)))</f>
        <v>0</v>
      </c>
      <c r="KT1" s="69">
        <f>+IFERROR(VLOOKUP(KT3,nolaborales[[#All],[Fecha Presente]],1,FALSE),IF(AND(LIQUIDACIÓN!$B$1=1,OR(WEEKDAY(CALENDARIO!KT3,2)=6,WEEKDAY(CALENDARIO!KT3,2)=7)),1,IF(AND(LIQUIDACIÓN!$B$1=11,WEEKDAY(CALENDARIO!KT3,2)=7),1,0)))</f>
        <v>0</v>
      </c>
      <c r="KU1" s="69">
        <f>+IFERROR(VLOOKUP(KU3,nolaborales[[#All],[Fecha Presente]],1,FALSE),IF(AND(LIQUIDACIÓN!$B$1=1,OR(WEEKDAY(CALENDARIO!KU3,2)=6,WEEKDAY(CALENDARIO!KU3,2)=7)),1,IF(AND(LIQUIDACIÓN!$B$1=11,WEEKDAY(CALENDARIO!KU3,2)=7),1,0)))</f>
        <v>0</v>
      </c>
      <c r="KV1" s="69">
        <f>+IFERROR(VLOOKUP(KV3,nolaborales[[#All],[Fecha Presente]],1,FALSE),IF(AND(LIQUIDACIÓN!$B$1=1,OR(WEEKDAY(CALENDARIO!KV3,2)=6,WEEKDAY(CALENDARIO!KV3,2)=7)),1,IF(AND(LIQUIDACIÓN!$B$1=11,WEEKDAY(CALENDARIO!KV3,2)=7),1,0)))</f>
        <v>0</v>
      </c>
      <c r="KW1" s="69">
        <f>+IFERROR(VLOOKUP(KW3,nolaborales[[#All],[Fecha Presente]],1,FALSE),IF(AND(LIQUIDACIÓN!$B$1=1,OR(WEEKDAY(CALENDARIO!KW3,2)=6,WEEKDAY(CALENDARIO!KW3,2)=7)),1,IF(AND(LIQUIDACIÓN!$B$1=11,WEEKDAY(CALENDARIO!KW3,2)=7),1,0)))</f>
        <v>1</v>
      </c>
      <c r="KX1" s="69">
        <f>+IFERROR(VLOOKUP(KX3,nolaborales[[#All],[Fecha Presente]],1,FALSE),IF(AND(LIQUIDACIÓN!$B$1=1,OR(WEEKDAY(CALENDARIO!KX3,2)=6,WEEKDAY(CALENDARIO!KX3,2)=7)),1,IF(AND(LIQUIDACIÓN!$B$1=11,WEEKDAY(CALENDARIO!KX3,2)=7),1,0)))</f>
        <v>1</v>
      </c>
      <c r="KY1" s="69">
        <f>+IFERROR(VLOOKUP(KY3,nolaborales[[#All],[Fecha Presente]],1,FALSE),IF(AND(LIQUIDACIÓN!$B$1=1,OR(WEEKDAY(CALENDARIO!KY3,2)=6,WEEKDAY(CALENDARIO!KY3,2)=7)),1,IF(AND(LIQUIDACIÓN!$B$1=11,WEEKDAY(CALENDARIO!KY3,2)=7),1,0)))</f>
        <v>44501</v>
      </c>
      <c r="KZ1" s="69">
        <f>+IFERROR(VLOOKUP(KZ3,nolaborales[[#All],[Fecha Presente]],1,FALSE),IF(AND(LIQUIDACIÓN!$B$1=1,OR(WEEKDAY(CALENDARIO!KZ3,2)=6,WEEKDAY(CALENDARIO!KZ3,2)=7)),1,IF(AND(LIQUIDACIÓN!$B$1=11,WEEKDAY(CALENDARIO!KZ3,2)=7),1,0)))</f>
        <v>0</v>
      </c>
      <c r="LA1" s="69">
        <f>+IFERROR(VLOOKUP(LA3,nolaborales[[#All],[Fecha Presente]],1,FALSE),IF(AND(LIQUIDACIÓN!$B$1=1,OR(WEEKDAY(CALENDARIO!LA3,2)=6,WEEKDAY(CALENDARIO!LA3,2)=7)),1,IF(AND(LIQUIDACIÓN!$B$1=11,WEEKDAY(CALENDARIO!LA3,2)=7),1,0)))</f>
        <v>0</v>
      </c>
      <c r="LB1" s="69">
        <f>+IFERROR(VLOOKUP(LB3,nolaborales[[#All],[Fecha Presente]],1,FALSE),IF(AND(LIQUIDACIÓN!$B$1=1,OR(WEEKDAY(CALENDARIO!LB3,2)=6,WEEKDAY(CALENDARIO!LB3,2)=7)),1,IF(AND(LIQUIDACIÓN!$B$1=11,WEEKDAY(CALENDARIO!LB3,2)=7),1,0)))</f>
        <v>0</v>
      </c>
      <c r="LC1" s="69">
        <f>+IFERROR(VLOOKUP(LC3,nolaborales[[#All],[Fecha Presente]],1,FALSE),IF(AND(LIQUIDACIÓN!$B$1=1,OR(WEEKDAY(CALENDARIO!LC3,2)=6,WEEKDAY(CALENDARIO!LC3,2)=7)),1,IF(AND(LIQUIDACIÓN!$B$1=11,WEEKDAY(CALENDARIO!LC3,2)=7),1,0)))</f>
        <v>0</v>
      </c>
      <c r="LD1" s="69">
        <f>+IFERROR(VLOOKUP(LD3,nolaborales[[#All],[Fecha Presente]],1,FALSE),IF(AND(LIQUIDACIÓN!$B$1=1,OR(WEEKDAY(CALENDARIO!LD3,2)=6,WEEKDAY(CALENDARIO!LD3,2)=7)),1,IF(AND(LIQUIDACIÓN!$B$1=11,WEEKDAY(CALENDARIO!LD3,2)=7),1,0)))</f>
        <v>1</v>
      </c>
      <c r="LE1" s="69">
        <f>+IFERROR(VLOOKUP(LE3,nolaborales[[#All],[Fecha Presente]],1,FALSE),IF(AND(LIQUIDACIÓN!$B$1=1,OR(WEEKDAY(CALENDARIO!LE3,2)=6,WEEKDAY(CALENDARIO!LE3,2)=7)),1,IF(AND(LIQUIDACIÓN!$B$1=11,WEEKDAY(CALENDARIO!LE3,2)=7),1,0)))</f>
        <v>1</v>
      </c>
      <c r="LF1" s="69">
        <f>+IFERROR(VLOOKUP(LF3,nolaborales[[#All],[Fecha Presente]],1,FALSE),IF(AND(LIQUIDACIÓN!$B$1=1,OR(WEEKDAY(CALENDARIO!LF3,2)=6,WEEKDAY(CALENDARIO!LF3,2)=7)),1,IF(AND(LIQUIDACIÓN!$B$1=11,WEEKDAY(CALENDARIO!LF3,2)=7),1,0)))</f>
        <v>0</v>
      </c>
      <c r="LG1" s="69">
        <f>+IFERROR(VLOOKUP(LG3,nolaborales[[#All],[Fecha Presente]],1,FALSE),IF(AND(LIQUIDACIÓN!$B$1=1,OR(WEEKDAY(CALENDARIO!LG3,2)=6,WEEKDAY(CALENDARIO!LG3,2)=7)),1,IF(AND(LIQUIDACIÓN!$B$1=11,WEEKDAY(CALENDARIO!LG3,2)=7),1,0)))</f>
        <v>0</v>
      </c>
      <c r="LH1" s="69">
        <f>+IFERROR(VLOOKUP(LH3,nolaborales[[#All],[Fecha Presente]],1,FALSE),IF(AND(LIQUIDACIÓN!$B$1=1,OR(WEEKDAY(CALENDARIO!LH3,2)=6,WEEKDAY(CALENDARIO!LH3,2)=7)),1,IF(AND(LIQUIDACIÓN!$B$1=11,WEEKDAY(CALENDARIO!LH3,2)=7),1,0)))</f>
        <v>0</v>
      </c>
      <c r="LI1" s="69">
        <f>+IFERROR(VLOOKUP(LI3,nolaborales[[#All],[Fecha Presente]],1,FALSE),IF(AND(LIQUIDACIÓN!$B$1=1,OR(WEEKDAY(CALENDARIO!LI3,2)=6,WEEKDAY(CALENDARIO!LI3,2)=7)),1,IF(AND(LIQUIDACIÓN!$B$1=11,WEEKDAY(CALENDARIO!LI3,2)=7),1,0)))</f>
        <v>0</v>
      </c>
      <c r="LJ1" s="69">
        <f>+IFERROR(VLOOKUP(LJ3,nolaborales[[#All],[Fecha Presente]],1,FALSE),IF(AND(LIQUIDACIÓN!$B$1=1,OR(WEEKDAY(CALENDARIO!LJ3,2)=6,WEEKDAY(CALENDARIO!LJ3,2)=7)),1,IF(AND(LIQUIDACIÓN!$B$1=11,WEEKDAY(CALENDARIO!LJ3,2)=7),1,0)))</f>
        <v>0</v>
      </c>
      <c r="LK1" s="69">
        <f>+IFERROR(VLOOKUP(LK3,nolaborales[[#All],[Fecha Presente]],1,FALSE),IF(AND(LIQUIDACIÓN!$B$1=1,OR(WEEKDAY(CALENDARIO!LK3,2)=6,WEEKDAY(CALENDARIO!LK3,2)=7)),1,IF(AND(LIQUIDACIÓN!$B$1=11,WEEKDAY(CALENDARIO!LK3,2)=7),1,0)))</f>
        <v>1</v>
      </c>
      <c r="LL1" s="69">
        <f>+IFERROR(VLOOKUP(LL3,nolaborales[[#All],[Fecha Presente]],1,FALSE),IF(AND(LIQUIDACIÓN!$B$1=1,OR(WEEKDAY(CALENDARIO!LL3,2)=6,WEEKDAY(CALENDARIO!LL3,2)=7)),1,IF(AND(LIQUIDACIÓN!$B$1=11,WEEKDAY(CALENDARIO!LL3,2)=7),1,0)))</f>
        <v>1</v>
      </c>
      <c r="LM1" s="69">
        <f>+IFERROR(VLOOKUP(LM3,nolaborales[[#All],[Fecha Presente]],1,FALSE),IF(AND(LIQUIDACIÓN!$B$1=1,OR(WEEKDAY(CALENDARIO!LM3,2)=6,WEEKDAY(CALENDARIO!LM3,2)=7)),1,IF(AND(LIQUIDACIÓN!$B$1=11,WEEKDAY(CALENDARIO!LM3,2)=7),1,0)))</f>
        <v>0</v>
      </c>
      <c r="LN1" s="69">
        <f>+IFERROR(VLOOKUP(LN3,nolaborales[[#All],[Fecha Presente]],1,FALSE),IF(AND(LIQUIDACIÓN!$B$1=1,OR(WEEKDAY(CALENDARIO!LN3,2)=6,WEEKDAY(CALENDARIO!LN3,2)=7)),1,IF(AND(LIQUIDACIÓN!$B$1=11,WEEKDAY(CALENDARIO!LN3,2)=7),1,0)))</f>
        <v>0</v>
      </c>
      <c r="LO1" s="69">
        <f>+IFERROR(VLOOKUP(LO3,nolaborales[[#All],[Fecha Presente]],1,FALSE),IF(AND(LIQUIDACIÓN!$B$1=1,OR(WEEKDAY(CALENDARIO!LO3,2)=6,WEEKDAY(CALENDARIO!LO3,2)=7)),1,IF(AND(LIQUIDACIÓN!$B$1=11,WEEKDAY(CALENDARIO!LO3,2)=7),1,0)))</f>
        <v>0</v>
      </c>
      <c r="LP1" s="69">
        <f>+IFERROR(VLOOKUP(LP3,nolaborales[[#All],[Fecha Presente]],1,FALSE),IF(AND(LIQUIDACIÓN!$B$1=1,OR(WEEKDAY(CALENDARIO!LP3,2)=6,WEEKDAY(CALENDARIO!LP3,2)=7)),1,IF(AND(LIQUIDACIÓN!$B$1=11,WEEKDAY(CALENDARIO!LP3,2)=7),1,0)))</f>
        <v>0</v>
      </c>
      <c r="LQ1" s="69">
        <f>+IFERROR(VLOOKUP(LQ3,nolaborales[[#All],[Fecha Presente]],1,FALSE),IF(AND(LIQUIDACIÓN!$B$1=1,OR(WEEKDAY(CALENDARIO!LQ3,2)=6,WEEKDAY(CALENDARIO!LQ3,2)=7)),1,IF(AND(LIQUIDACIÓN!$B$1=11,WEEKDAY(CALENDARIO!LQ3,2)=7),1,0)))</f>
        <v>0</v>
      </c>
      <c r="LR1" s="69">
        <f>+IFERROR(VLOOKUP(LR3,nolaborales[[#All],[Fecha Presente]],1,FALSE),IF(AND(LIQUIDACIÓN!$B$1=1,OR(WEEKDAY(CALENDARIO!LR3,2)=6,WEEKDAY(CALENDARIO!LR3,2)=7)),1,IF(AND(LIQUIDACIÓN!$B$1=11,WEEKDAY(CALENDARIO!LR3,2)=7),1,0)))</f>
        <v>1</v>
      </c>
      <c r="LS1" s="69">
        <f>+IFERROR(VLOOKUP(LS3,nolaborales[[#All],[Fecha Presente]],1,FALSE),IF(AND(LIQUIDACIÓN!$B$1=1,OR(WEEKDAY(CALENDARIO!LS3,2)=6,WEEKDAY(CALENDARIO!LS3,2)=7)),1,IF(AND(LIQUIDACIÓN!$B$1=11,WEEKDAY(CALENDARIO!LS3,2)=7),1,0)))</f>
        <v>1</v>
      </c>
      <c r="LT1" s="69">
        <f>+IFERROR(VLOOKUP(LT3,nolaborales[[#All],[Fecha Presente]],1,FALSE),IF(AND(LIQUIDACIÓN!$B$1=1,OR(WEEKDAY(CALENDARIO!LT3,2)=6,WEEKDAY(CALENDARIO!LT3,2)=7)),1,IF(AND(LIQUIDACIÓN!$B$1=11,WEEKDAY(CALENDARIO!LT3,2)=7),1,0)))</f>
        <v>0</v>
      </c>
      <c r="LU1" s="69">
        <f>+IFERROR(VLOOKUP(LU3,nolaborales[[#All],[Fecha Presente]],1,FALSE),IF(AND(LIQUIDACIÓN!$B$1=1,OR(WEEKDAY(CALENDARIO!LU3,2)=6,WEEKDAY(CALENDARIO!LU3,2)=7)),1,IF(AND(LIQUIDACIÓN!$B$1=11,WEEKDAY(CALENDARIO!LU3,2)=7),1,0)))</f>
        <v>0</v>
      </c>
      <c r="LV1" s="69">
        <f>+IFERROR(VLOOKUP(LV3,nolaborales[[#All],[Fecha Presente]],1,FALSE),IF(AND(LIQUIDACIÓN!$B$1=1,OR(WEEKDAY(CALENDARIO!LV3,2)=6,WEEKDAY(CALENDARIO!LV3,2)=7)),1,IF(AND(LIQUIDACIÓN!$B$1=11,WEEKDAY(CALENDARIO!LV3,2)=7),1,0)))</f>
        <v>0</v>
      </c>
      <c r="LW1" s="69">
        <f>+IFERROR(VLOOKUP(LW3,nolaborales[[#All],[Fecha Presente]],1,FALSE),IF(AND(LIQUIDACIÓN!$B$1=1,OR(WEEKDAY(CALENDARIO!LW3,2)=6,WEEKDAY(CALENDARIO!LW3,2)=7)),1,IF(AND(LIQUIDACIÓN!$B$1=11,WEEKDAY(CALENDARIO!LW3,2)=7),1,0)))</f>
        <v>0</v>
      </c>
      <c r="LX1" s="69">
        <f>+IFERROR(VLOOKUP(LX3,nolaborales[[#All],[Fecha Presente]],1,FALSE),IF(AND(LIQUIDACIÓN!$B$1=1,OR(WEEKDAY(CALENDARIO!LX3,2)=6,WEEKDAY(CALENDARIO!LX3,2)=7)),1,IF(AND(LIQUIDACIÓN!$B$1=11,WEEKDAY(CALENDARIO!LX3,2)=7),1,0)))</f>
        <v>0</v>
      </c>
      <c r="LY1" s="69">
        <f>+IFERROR(VLOOKUP(LY3,nolaborales[[#All],[Fecha Presente]],1,FALSE),IF(AND(LIQUIDACIÓN!$B$1=1,OR(WEEKDAY(CALENDARIO!LY3,2)=6,WEEKDAY(CALENDARIO!LY3,2)=7)),1,IF(AND(LIQUIDACIÓN!$B$1=11,WEEKDAY(CALENDARIO!LY3,2)=7),1,0)))</f>
        <v>1</v>
      </c>
      <c r="LZ1" s="69">
        <f>+IFERROR(VLOOKUP(LZ3,nolaborales[[#All],[Fecha Presente]],1,FALSE),IF(AND(LIQUIDACIÓN!$B$1=1,OR(WEEKDAY(CALENDARIO!LZ3,2)=6,WEEKDAY(CALENDARIO!LZ3,2)=7)),1,IF(AND(LIQUIDACIÓN!$B$1=11,WEEKDAY(CALENDARIO!LZ3,2)=7),1,0)))</f>
        <v>1</v>
      </c>
      <c r="MA1" s="69">
        <f>+IFERROR(VLOOKUP(MA3,nolaborales[[#All],[Fecha Presente]],1,FALSE),IF(AND(LIQUIDACIÓN!$B$1=1,OR(WEEKDAY(CALENDARIO!MA3,2)=6,WEEKDAY(CALENDARIO!MA3,2)=7)),1,IF(AND(LIQUIDACIÓN!$B$1=11,WEEKDAY(CALENDARIO!MA3,2)=7),1,0)))</f>
        <v>0</v>
      </c>
      <c r="MB1" s="69">
        <f>+IFERROR(VLOOKUP(MB3,nolaborales[[#All],[Fecha Presente]],1,FALSE),IF(AND(LIQUIDACIÓN!$B$1=1,OR(WEEKDAY(CALENDARIO!MB3,2)=6,WEEKDAY(CALENDARIO!MB3,2)=7)),1,IF(AND(LIQUIDACIÓN!$B$1=11,WEEKDAY(CALENDARIO!MB3,2)=7),1,0)))</f>
        <v>0</v>
      </c>
      <c r="MC1" s="69">
        <f>+IFERROR(VLOOKUP(MC3,nolaborales[[#All],[Fecha Presente]],1,FALSE),IF(AND(LIQUIDACIÓN!$B$1=1,OR(WEEKDAY(CALENDARIO!MC3,2)=6,WEEKDAY(CALENDARIO!MC3,2)=7)),1,IF(AND(LIQUIDACIÓN!$B$1=11,WEEKDAY(CALENDARIO!MC3,2)=7),1,0)))</f>
        <v>0</v>
      </c>
      <c r="MD1" s="69">
        <f>+IFERROR(VLOOKUP(MD3,nolaborales[[#All],[Fecha Presente]],1,FALSE),IF(AND(LIQUIDACIÓN!$B$1=1,OR(WEEKDAY(CALENDARIO!MD3,2)=6,WEEKDAY(CALENDARIO!MD3,2)=7)),1,IF(AND(LIQUIDACIÓN!$B$1=11,WEEKDAY(CALENDARIO!MD3,2)=7),1,0)))</f>
        <v>0</v>
      </c>
      <c r="ME1" s="69">
        <f>+IFERROR(VLOOKUP(ME3,nolaborales[[#All],[Fecha Presente]],1,FALSE),IF(AND(LIQUIDACIÓN!$B$1=1,OR(WEEKDAY(CALENDARIO!ME3,2)=6,WEEKDAY(CALENDARIO!ME3,2)=7)),1,IF(AND(LIQUIDACIÓN!$B$1=11,WEEKDAY(CALENDARIO!ME3,2)=7),1,0)))</f>
        <v>0</v>
      </c>
      <c r="MF1" s="69">
        <f>+IFERROR(VLOOKUP(MF3,nolaborales[[#All],[Fecha Presente]],1,FALSE),IF(AND(LIQUIDACIÓN!$B$1=1,OR(WEEKDAY(CALENDARIO!MF3,2)=6,WEEKDAY(CALENDARIO!MF3,2)=7)),1,IF(AND(LIQUIDACIÓN!$B$1=11,WEEKDAY(CALENDARIO!MF3,2)=7),1,0)))</f>
        <v>1</v>
      </c>
      <c r="MG1" s="69">
        <f>+IFERROR(VLOOKUP(MG3,nolaborales[[#All],[Fecha Presente]],1,FALSE),IF(AND(LIQUIDACIÓN!$B$1=1,OR(WEEKDAY(CALENDARIO!MG3,2)=6,WEEKDAY(CALENDARIO!MG3,2)=7)),1,IF(AND(LIQUIDACIÓN!$B$1=11,WEEKDAY(CALENDARIO!MG3,2)=7),1,0)))</f>
        <v>1</v>
      </c>
      <c r="MH1" s="69">
        <f>+IFERROR(VLOOKUP(MH3,nolaborales[[#All],[Fecha Presente]],1,FALSE),IF(AND(LIQUIDACIÓN!$B$1=1,OR(WEEKDAY(CALENDARIO!MH3,2)=6,WEEKDAY(CALENDARIO!MH3,2)=7)),1,IF(AND(LIQUIDACIÓN!$B$1=11,WEEKDAY(CALENDARIO!MH3,2)=7),1,0)))</f>
        <v>44536</v>
      </c>
      <c r="MI1" s="69">
        <f>+IFERROR(VLOOKUP(MI3,nolaborales[[#All],[Fecha Presente]],1,FALSE),IF(AND(LIQUIDACIÓN!$B$1=1,OR(WEEKDAY(CALENDARIO!MI3,2)=6,WEEKDAY(CALENDARIO!MI3,2)=7)),1,IF(AND(LIQUIDACIÓN!$B$1=11,WEEKDAY(CALENDARIO!MI3,2)=7),1,0)))</f>
        <v>0</v>
      </c>
      <c r="MJ1" s="69">
        <f>+IFERROR(VLOOKUP(MJ3,nolaborales[[#All],[Fecha Presente]],1,FALSE),IF(AND(LIQUIDACIÓN!$B$1=1,OR(WEEKDAY(CALENDARIO!MJ3,2)=6,WEEKDAY(CALENDARIO!MJ3,2)=7)),1,IF(AND(LIQUIDACIÓN!$B$1=11,WEEKDAY(CALENDARIO!MJ3,2)=7),1,0)))</f>
        <v>44538</v>
      </c>
      <c r="MK1" s="69">
        <f>+IFERROR(VLOOKUP(MK3,nolaborales[[#All],[Fecha Presente]],1,FALSE),IF(AND(LIQUIDACIÓN!$B$1=1,OR(WEEKDAY(CALENDARIO!MK3,2)=6,WEEKDAY(CALENDARIO!MK3,2)=7)),1,IF(AND(LIQUIDACIÓN!$B$1=11,WEEKDAY(CALENDARIO!MK3,2)=7),1,0)))</f>
        <v>0</v>
      </c>
      <c r="ML1" s="69">
        <f>+IFERROR(VLOOKUP(ML3,nolaborales[[#All],[Fecha Presente]],1,FALSE),IF(AND(LIQUIDACIÓN!$B$1=1,OR(WEEKDAY(CALENDARIO!ML3,2)=6,WEEKDAY(CALENDARIO!ML3,2)=7)),1,IF(AND(LIQUIDACIÓN!$B$1=11,WEEKDAY(CALENDARIO!ML3,2)=7),1,0)))</f>
        <v>0</v>
      </c>
      <c r="MM1" s="69">
        <f>+IFERROR(VLOOKUP(MM3,nolaborales[[#All],[Fecha Presente]],1,FALSE),IF(AND(LIQUIDACIÓN!$B$1=1,OR(WEEKDAY(CALENDARIO!MM3,2)=6,WEEKDAY(CALENDARIO!MM3,2)=7)),1,IF(AND(LIQUIDACIÓN!$B$1=11,WEEKDAY(CALENDARIO!MM3,2)=7),1,0)))</f>
        <v>1</v>
      </c>
      <c r="MN1" s="69">
        <f>+IFERROR(VLOOKUP(MN3,nolaborales[[#All],[Fecha Presente]],1,FALSE),IF(AND(LIQUIDACIÓN!$B$1=1,OR(WEEKDAY(CALENDARIO!MN3,2)=6,WEEKDAY(CALENDARIO!MN3,2)=7)),1,IF(AND(LIQUIDACIÓN!$B$1=11,WEEKDAY(CALENDARIO!MN3,2)=7),1,0)))</f>
        <v>1</v>
      </c>
      <c r="MO1" s="69">
        <f>+IFERROR(VLOOKUP(MO3,nolaborales[[#All],[Fecha Presente]],1,FALSE),IF(AND(LIQUIDACIÓN!$B$1=1,OR(WEEKDAY(CALENDARIO!MO3,2)=6,WEEKDAY(CALENDARIO!MO3,2)=7)),1,IF(AND(LIQUIDACIÓN!$B$1=11,WEEKDAY(CALENDARIO!MO3,2)=7),1,0)))</f>
        <v>0</v>
      </c>
      <c r="MP1" s="69">
        <f>+IFERROR(VLOOKUP(MP3,nolaborales[[#All],[Fecha Presente]],1,FALSE),IF(AND(LIQUIDACIÓN!$B$1=1,OR(WEEKDAY(CALENDARIO!MP3,2)=6,WEEKDAY(CALENDARIO!MP3,2)=7)),1,IF(AND(LIQUIDACIÓN!$B$1=11,WEEKDAY(CALENDARIO!MP3,2)=7),1,0)))</f>
        <v>0</v>
      </c>
      <c r="MQ1" s="69">
        <f>+IFERROR(VLOOKUP(MQ3,nolaborales[[#All],[Fecha Presente]],1,FALSE),IF(AND(LIQUIDACIÓN!$B$1=1,OR(WEEKDAY(CALENDARIO!MQ3,2)=6,WEEKDAY(CALENDARIO!MQ3,2)=7)),1,IF(AND(LIQUIDACIÓN!$B$1=11,WEEKDAY(CALENDARIO!MQ3,2)=7),1,0)))</f>
        <v>0</v>
      </c>
      <c r="MR1" s="69">
        <f>+IFERROR(VLOOKUP(MR3,nolaborales[[#All],[Fecha Presente]],1,FALSE),IF(AND(LIQUIDACIÓN!$B$1=1,OR(WEEKDAY(CALENDARIO!MR3,2)=6,WEEKDAY(CALENDARIO!MR3,2)=7)),1,IF(AND(LIQUIDACIÓN!$B$1=11,WEEKDAY(CALENDARIO!MR3,2)=7),1,0)))</f>
        <v>0</v>
      </c>
      <c r="MS1" s="69">
        <f>+IFERROR(VLOOKUP(MS3,nolaborales[[#All],[Fecha Presente]],1,FALSE),IF(AND(LIQUIDACIÓN!$B$1=1,OR(WEEKDAY(CALENDARIO!MS3,2)=6,WEEKDAY(CALENDARIO!MS3,2)=7)),1,IF(AND(LIQUIDACIÓN!$B$1=11,WEEKDAY(CALENDARIO!MS3,2)=7),1,0)))</f>
        <v>0</v>
      </c>
      <c r="MT1" s="69">
        <f>+IFERROR(VLOOKUP(MT3,nolaborales[[#All],[Fecha Presente]],1,FALSE),IF(AND(LIQUIDACIÓN!$B$1=1,OR(WEEKDAY(CALENDARIO!MT3,2)=6,WEEKDAY(CALENDARIO!MT3,2)=7)),1,IF(AND(LIQUIDACIÓN!$B$1=11,WEEKDAY(CALENDARIO!MT3,2)=7),1,0)))</f>
        <v>1</v>
      </c>
      <c r="MU1" s="69">
        <f>+IFERROR(VLOOKUP(MU3,nolaborales[[#All],[Fecha Presente]],1,FALSE),IF(AND(LIQUIDACIÓN!$B$1=1,OR(WEEKDAY(CALENDARIO!MU3,2)=6,WEEKDAY(CALENDARIO!MU3,2)=7)),1,IF(AND(LIQUIDACIÓN!$B$1=11,WEEKDAY(CALENDARIO!MU3,2)=7),1,0)))</f>
        <v>1</v>
      </c>
      <c r="MV1" s="69">
        <f>+IFERROR(VLOOKUP(MV3,nolaborales[[#All],[Fecha Presente]],1,FALSE),IF(AND(LIQUIDACIÓN!$B$1=1,OR(WEEKDAY(CALENDARIO!MV3,2)=6,WEEKDAY(CALENDARIO!MV3,2)=7)),1,IF(AND(LIQUIDACIÓN!$B$1=11,WEEKDAY(CALENDARIO!MV3,2)=7),1,0)))</f>
        <v>0</v>
      </c>
      <c r="MW1" s="69">
        <f>+IFERROR(VLOOKUP(MW3,nolaborales[[#All],[Fecha Presente]],1,FALSE),IF(AND(LIQUIDACIÓN!$B$1=1,OR(WEEKDAY(CALENDARIO!MW3,2)=6,WEEKDAY(CALENDARIO!MW3,2)=7)),1,IF(AND(LIQUIDACIÓN!$B$1=11,WEEKDAY(CALENDARIO!MW3,2)=7),1,0)))</f>
        <v>0</v>
      </c>
      <c r="MX1" s="69">
        <f>+IFERROR(VLOOKUP(MX3,nolaborales[[#All],[Fecha Presente]],1,FALSE),IF(AND(LIQUIDACIÓN!$B$1=1,OR(WEEKDAY(CALENDARIO!MX3,2)=6,WEEKDAY(CALENDARIO!MX3,2)=7)),1,IF(AND(LIQUIDACIÓN!$B$1=11,WEEKDAY(CALENDARIO!MX3,2)=7),1,0)))</f>
        <v>0</v>
      </c>
      <c r="MY1" s="69">
        <f>+IFERROR(VLOOKUP(MY3,nolaborales[[#All],[Fecha Presente]],1,FALSE),IF(AND(LIQUIDACIÓN!$B$1=1,OR(WEEKDAY(CALENDARIO!MY3,2)=6,WEEKDAY(CALENDARIO!MY3,2)=7)),1,IF(AND(LIQUIDACIÓN!$B$1=11,WEEKDAY(CALENDARIO!MY3,2)=7),1,0)))</f>
        <v>0</v>
      </c>
      <c r="MZ1" s="69">
        <f>+IFERROR(VLOOKUP(MZ3,nolaborales[[#All],[Fecha Presente]],1,FALSE),IF(AND(LIQUIDACIÓN!$B$1=1,OR(WEEKDAY(CALENDARIO!MZ3,2)=6,WEEKDAY(CALENDARIO!MZ3,2)=7)),1,IF(AND(LIQUIDACIÓN!$B$1=11,WEEKDAY(CALENDARIO!MZ3,2)=7),1,0)))</f>
        <v>0</v>
      </c>
      <c r="NA1" s="69">
        <f>+IFERROR(VLOOKUP(NA3,nolaborales[[#All],[Fecha Presente]],1,FALSE),IF(AND(LIQUIDACIÓN!$B$1=1,OR(WEEKDAY(CALENDARIO!NA3,2)=6,WEEKDAY(CALENDARIO!NA3,2)=7)),1,IF(AND(LIQUIDACIÓN!$B$1=11,WEEKDAY(CALENDARIO!NA3,2)=7),1,0)))</f>
        <v>44555</v>
      </c>
      <c r="NB1" s="69">
        <f>+IFERROR(VLOOKUP(NB3,nolaborales[[#All],[Fecha Presente]],1,FALSE),IF(AND(LIQUIDACIÓN!$B$1=1,OR(WEEKDAY(CALENDARIO!NB3,2)=6,WEEKDAY(CALENDARIO!NB3,2)=7)),1,IF(AND(LIQUIDACIÓN!$B$1=11,WEEKDAY(CALENDARIO!NB3,2)=7),1,0)))</f>
        <v>1</v>
      </c>
      <c r="NC1" s="69">
        <f>+IFERROR(VLOOKUP(NC3,nolaborales[[#All],[Fecha Presente]],1,FALSE),IF(AND(LIQUIDACIÓN!$B$1=1,OR(WEEKDAY(CALENDARIO!NC3,2)=6,WEEKDAY(CALENDARIO!NC3,2)=7)),1,IF(AND(LIQUIDACIÓN!$B$1=11,WEEKDAY(CALENDARIO!NC3,2)=7),1,0)))</f>
        <v>0</v>
      </c>
      <c r="ND1" s="69">
        <f>+IFERROR(VLOOKUP(ND3,nolaborales[[#All],[Fecha Presente]],1,FALSE),IF(AND(LIQUIDACIÓN!$B$1=1,OR(WEEKDAY(CALENDARIO!ND3,2)=6,WEEKDAY(CALENDARIO!ND3,2)=7)),1,IF(AND(LIQUIDACIÓN!$B$1=11,WEEKDAY(CALENDARIO!ND3,2)=7),1,0)))</f>
        <v>0</v>
      </c>
      <c r="NE1" s="69">
        <f>+IFERROR(VLOOKUP(NE3,nolaborales[[#All],[Fecha Presente]],1,FALSE),IF(AND(LIQUIDACIÓN!$B$1=1,OR(WEEKDAY(CALENDARIO!NE3,2)=6,WEEKDAY(CALENDARIO!NE3,2)=7)),1,IF(AND(LIQUIDACIÓN!$B$1=11,WEEKDAY(CALENDARIO!NE3,2)=7),1,0)))</f>
        <v>0</v>
      </c>
      <c r="NF1" s="69">
        <f>+IFERROR(VLOOKUP(NF3,nolaborales[[#All],[Fecha Presente]],1,FALSE),IF(AND(LIQUIDACIÓN!$B$1=1,OR(WEEKDAY(CALENDARIO!NF3,2)=6,WEEKDAY(CALENDARIO!NF3,2)=7)),1,IF(AND(LIQUIDACIÓN!$B$1=11,WEEKDAY(CALENDARIO!NF3,2)=7),1,0)))</f>
        <v>0</v>
      </c>
      <c r="NG1" s="69">
        <f>+IFERROR(VLOOKUP(NG3,nolaborales[[#All],[Fecha Presente]],1,FALSE),IF(AND(LIQUIDACIÓN!$B$1=1,OR(WEEKDAY(CALENDARIO!NG3,2)=6,WEEKDAY(CALENDARIO!NG3,2)=7)),1,IF(AND(LIQUIDACIÓN!$B$1=11,WEEKDAY(CALENDARIO!NG3,2)=7),1,0)))</f>
        <v>0</v>
      </c>
    </row>
    <row r="2" spans="1:372" ht="15.75" thickBot="1" x14ac:dyDescent="0.3">
      <c r="A2" s="13" t="str">
        <f>+"01/01/"&amp;PARAMETROS!$B$4</f>
        <v>01/01/2021</v>
      </c>
      <c r="C2" s="62" t="s">
        <v>59</v>
      </c>
      <c r="D2" s="61" t="s">
        <v>58</v>
      </c>
      <c r="G2" s="60" t="s">
        <v>56</v>
      </c>
      <c r="H2" s="60"/>
      <c r="I2" s="60"/>
      <c r="J2" s="60"/>
      <c r="K2" s="60"/>
      <c r="L2" s="60"/>
      <c r="M2" s="60"/>
      <c r="N2" s="60"/>
      <c r="O2" s="60"/>
      <c r="P2" s="60"/>
      <c r="Q2" s="60"/>
      <c r="R2" s="60"/>
      <c r="S2" s="60"/>
      <c r="T2" s="60"/>
      <c r="U2" s="60"/>
      <c r="V2" s="60"/>
      <c r="W2" s="60"/>
      <c r="X2" s="60"/>
      <c r="Y2" s="60"/>
      <c r="Z2" s="60"/>
      <c r="AA2" s="60"/>
      <c r="AB2" s="60"/>
      <c r="AC2" s="60"/>
      <c r="AD2" s="60"/>
      <c r="AE2" s="60"/>
      <c r="AF2" s="60"/>
      <c r="AG2" s="60"/>
      <c r="AH2" s="60"/>
      <c r="AI2" s="60"/>
      <c r="AJ2" s="60"/>
      <c r="AK2" s="60"/>
    </row>
    <row r="3" spans="1:372" s="12" customFormat="1" ht="41.25" thickTop="1" x14ac:dyDescent="0.2">
      <c r="A3" s="15" t="s">
        <v>46</v>
      </c>
      <c r="B3" s="15" t="s">
        <v>1</v>
      </c>
      <c r="C3" s="16" t="s">
        <v>41</v>
      </c>
      <c r="D3" s="57" t="s">
        <v>57</v>
      </c>
      <c r="E3" s="16" t="s">
        <v>47</v>
      </c>
      <c r="G3" s="20">
        <f>+A2+0</f>
        <v>44197</v>
      </c>
      <c r="H3" s="21">
        <f>+G3+1</f>
        <v>44198</v>
      </c>
      <c r="I3" s="21">
        <f t="shared" ref="I3:BT3" si="0">+H3+1</f>
        <v>44199</v>
      </c>
      <c r="J3" s="21">
        <f t="shared" si="0"/>
        <v>44200</v>
      </c>
      <c r="K3" s="21">
        <f t="shared" si="0"/>
        <v>44201</v>
      </c>
      <c r="L3" s="21">
        <f t="shared" si="0"/>
        <v>44202</v>
      </c>
      <c r="M3" s="21">
        <f t="shared" si="0"/>
        <v>44203</v>
      </c>
      <c r="N3" s="21">
        <f t="shared" si="0"/>
        <v>44204</v>
      </c>
      <c r="O3" s="21">
        <f t="shared" si="0"/>
        <v>44205</v>
      </c>
      <c r="P3" s="21">
        <f t="shared" si="0"/>
        <v>44206</v>
      </c>
      <c r="Q3" s="21">
        <f t="shared" si="0"/>
        <v>44207</v>
      </c>
      <c r="R3" s="21">
        <f t="shared" si="0"/>
        <v>44208</v>
      </c>
      <c r="S3" s="21">
        <f t="shared" si="0"/>
        <v>44209</v>
      </c>
      <c r="T3" s="21">
        <f t="shared" si="0"/>
        <v>44210</v>
      </c>
      <c r="U3" s="21">
        <f t="shared" si="0"/>
        <v>44211</v>
      </c>
      <c r="V3" s="21">
        <f t="shared" si="0"/>
        <v>44212</v>
      </c>
      <c r="W3" s="21">
        <f t="shared" si="0"/>
        <v>44213</v>
      </c>
      <c r="X3" s="21">
        <f t="shared" si="0"/>
        <v>44214</v>
      </c>
      <c r="Y3" s="21">
        <f t="shared" si="0"/>
        <v>44215</v>
      </c>
      <c r="Z3" s="21">
        <f t="shared" si="0"/>
        <v>44216</v>
      </c>
      <c r="AA3" s="21">
        <f t="shared" si="0"/>
        <v>44217</v>
      </c>
      <c r="AB3" s="21">
        <f t="shared" si="0"/>
        <v>44218</v>
      </c>
      <c r="AC3" s="21">
        <f t="shared" si="0"/>
        <v>44219</v>
      </c>
      <c r="AD3" s="21">
        <f t="shared" si="0"/>
        <v>44220</v>
      </c>
      <c r="AE3" s="21">
        <f t="shared" si="0"/>
        <v>44221</v>
      </c>
      <c r="AF3" s="21">
        <f t="shared" si="0"/>
        <v>44222</v>
      </c>
      <c r="AG3" s="21">
        <f t="shared" si="0"/>
        <v>44223</v>
      </c>
      <c r="AH3" s="21">
        <f t="shared" si="0"/>
        <v>44224</v>
      </c>
      <c r="AI3" s="21">
        <f t="shared" si="0"/>
        <v>44225</v>
      </c>
      <c r="AJ3" s="21">
        <f t="shared" si="0"/>
        <v>44226</v>
      </c>
      <c r="AK3" s="24">
        <f t="shared" si="0"/>
        <v>44227</v>
      </c>
      <c r="AL3" s="26">
        <f t="shared" si="0"/>
        <v>44228</v>
      </c>
      <c r="AM3" s="27">
        <f t="shared" si="0"/>
        <v>44229</v>
      </c>
      <c r="AN3" s="27">
        <f t="shared" si="0"/>
        <v>44230</v>
      </c>
      <c r="AO3" s="27">
        <f t="shared" si="0"/>
        <v>44231</v>
      </c>
      <c r="AP3" s="27">
        <f t="shared" si="0"/>
        <v>44232</v>
      </c>
      <c r="AQ3" s="27">
        <f t="shared" si="0"/>
        <v>44233</v>
      </c>
      <c r="AR3" s="27">
        <f t="shared" si="0"/>
        <v>44234</v>
      </c>
      <c r="AS3" s="27">
        <f t="shared" si="0"/>
        <v>44235</v>
      </c>
      <c r="AT3" s="27">
        <f t="shared" si="0"/>
        <v>44236</v>
      </c>
      <c r="AU3" s="27">
        <f t="shared" si="0"/>
        <v>44237</v>
      </c>
      <c r="AV3" s="27">
        <f t="shared" si="0"/>
        <v>44238</v>
      </c>
      <c r="AW3" s="27">
        <f t="shared" si="0"/>
        <v>44239</v>
      </c>
      <c r="AX3" s="27">
        <f t="shared" si="0"/>
        <v>44240</v>
      </c>
      <c r="AY3" s="27">
        <f t="shared" si="0"/>
        <v>44241</v>
      </c>
      <c r="AZ3" s="27">
        <f t="shared" si="0"/>
        <v>44242</v>
      </c>
      <c r="BA3" s="27">
        <f t="shared" si="0"/>
        <v>44243</v>
      </c>
      <c r="BB3" s="27">
        <f t="shared" si="0"/>
        <v>44244</v>
      </c>
      <c r="BC3" s="27">
        <f t="shared" si="0"/>
        <v>44245</v>
      </c>
      <c r="BD3" s="27">
        <f t="shared" si="0"/>
        <v>44246</v>
      </c>
      <c r="BE3" s="27">
        <f t="shared" si="0"/>
        <v>44247</v>
      </c>
      <c r="BF3" s="27">
        <f t="shared" si="0"/>
        <v>44248</v>
      </c>
      <c r="BG3" s="27">
        <f t="shared" si="0"/>
        <v>44249</v>
      </c>
      <c r="BH3" s="27">
        <f t="shared" si="0"/>
        <v>44250</v>
      </c>
      <c r="BI3" s="27">
        <f t="shared" si="0"/>
        <v>44251</v>
      </c>
      <c r="BJ3" s="27">
        <f t="shared" si="0"/>
        <v>44252</v>
      </c>
      <c r="BK3" s="27">
        <f t="shared" si="0"/>
        <v>44253</v>
      </c>
      <c r="BL3" s="27">
        <f t="shared" si="0"/>
        <v>44254</v>
      </c>
      <c r="BM3" s="31">
        <f t="shared" si="0"/>
        <v>44255</v>
      </c>
      <c r="BN3" s="33">
        <f t="shared" si="0"/>
        <v>44256</v>
      </c>
      <c r="BO3" s="34">
        <f t="shared" si="0"/>
        <v>44257</v>
      </c>
      <c r="BP3" s="34">
        <f t="shared" si="0"/>
        <v>44258</v>
      </c>
      <c r="BQ3" s="34">
        <f t="shared" si="0"/>
        <v>44259</v>
      </c>
      <c r="BR3" s="34">
        <f t="shared" si="0"/>
        <v>44260</v>
      </c>
      <c r="BS3" s="34">
        <f t="shared" si="0"/>
        <v>44261</v>
      </c>
      <c r="BT3" s="34">
        <f t="shared" si="0"/>
        <v>44262</v>
      </c>
      <c r="BU3" s="34">
        <f t="shared" ref="BU3:EF3" si="1">+BT3+1</f>
        <v>44263</v>
      </c>
      <c r="BV3" s="34">
        <f t="shared" si="1"/>
        <v>44264</v>
      </c>
      <c r="BW3" s="34">
        <f t="shared" si="1"/>
        <v>44265</v>
      </c>
      <c r="BX3" s="34">
        <f t="shared" si="1"/>
        <v>44266</v>
      </c>
      <c r="BY3" s="34">
        <f t="shared" si="1"/>
        <v>44267</v>
      </c>
      <c r="BZ3" s="34">
        <f t="shared" si="1"/>
        <v>44268</v>
      </c>
      <c r="CA3" s="34">
        <f t="shared" si="1"/>
        <v>44269</v>
      </c>
      <c r="CB3" s="34">
        <f t="shared" si="1"/>
        <v>44270</v>
      </c>
      <c r="CC3" s="34">
        <f t="shared" si="1"/>
        <v>44271</v>
      </c>
      <c r="CD3" s="34">
        <f t="shared" si="1"/>
        <v>44272</v>
      </c>
      <c r="CE3" s="34">
        <f t="shared" si="1"/>
        <v>44273</v>
      </c>
      <c r="CF3" s="34">
        <f t="shared" si="1"/>
        <v>44274</v>
      </c>
      <c r="CG3" s="34">
        <f t="shared" si="1"/>
        <v>44275</v>
      </c>
      <c r="CH3" s="34">
        <f t="shared" si="1"/>
        <v>44276</v>
      </c>
      <c r="CI3" s="34">
        <f t="shared" si="1"/>
        <v>44277</v>
      </c>
      <c r="CJ3" s="34">
        <f t="shared" si="1"/>
        <v>44278</v>
      </c>
      <c r="CK3" s="34">
        <f t="shared" si="1"/>
        <v>44279</v>
      </c>
      <c r="CL3" s="34">
        <f t="shared" si="1"/>
        <v>44280</v>
      </c>
      <c r="CM3" s="34">
        <f t="shared" si="1"/>
        <v>44281</v>
      </c>
      <c r="CN3" s="34">
        <f t="shared" si="1"/>
        <v>44282</v>
      </c>
      <c r="CO3" s="34">
        <f t="shared" si="1"/>
        <v>44283</v>
      </c>
      <c r="CP3" s="34">
        <f t="shared" si="1"/>
        <v>44284</v>
      </c>
      <c r="CQ3" s="34">
        <f t="shared" si="1"/>
        <v>44285</v>
      </c>
      <c r="CR3" s="39">
        <f t="shared" si="1"/>
        <v>44286</v>
      </c>
      <c r="CS3" s="42">
        <f t="shared" si="1"/>
        <v>44287</v>
      </c>
      <c r="CT3" s="43">
        <f t="shared" si="1"/>
        <v>44288</v>
      </c>
      <c r="CU3" s="43">
        <f t="shared" si="1"/>
        <v>44289</v>
      </c>
      <c r="CV3" s="43">
        <f t="shared" si="1"/>
        <v>44290</v>
      </c>
      <c r="CW3" s="43">
        <f t="shared" si="1"/>
        <v>44291</v>
      </c>
      <c r="CX3" s="43">
        <f t="shared" si="1"/>
        <v>44292</v>
      </c>
      <c r="CY3" s="43">
        <f t="shared" si="1"/>
        <v>44293</v>
      </c>
      <c r="CZ3" s="43">
        <f t="shared" si="1"/>
        <v>44294</v>
      </c>
      <c r="DA3" s="43">
        <f t="shared" si="1"/>
        <v>44295</v>
      </c>
      <c r="DB3" s="43">
        <f t="shared" si="1"/>
        <v>44296</v>
      </c>
      <c r="DC3" s="43">
        <f t="shared" si="1"/>
        <v>44297</v>
      </c>
      <c r="DD3" s="43">
        <f t="shared" si="1"/>
        <v>44298</v>
      </c>
      <c r="DE3" s="43">
        <f t="shared" si="1"/>
        <v>44299</v>
      </c>
      <c r="DF3" s="43">
        <f t="shared" si="1"/>
        <v>44300</v>
      </c>
      <c r="DG3" s="43">
        <f t="shared" si="1"/>
        <v>44301</v>
      </c>
      <c r="DH3" s="43">
        <f t="shared" si="1"/>
        <v>44302</v>
      </c>
      <c r="DI3" s="43">
        <f t="shared" si="1"/>
        <v>44303</v>
      </c>
      <c r="DJ3" s="43">
        <f t="shared" si="1"/>
        <v>44304</v>
      </c>
      <c r="DK3" s="43">
        <f t="shared" si="1"/>
        <v>44305</v>
      </c>
      <c r="DL3" s="43">
        <f t="shared" si="1"/>
        <v>44306</v>
      </c>
      <c r="DM3" s="43">
        <f t="shared" si="1"/>
        <v>44307</v>
      </c>
      <c r="DN3" s="43">
        <f t="shared" si="1"/>
        <v>44308</v>
      </c>
      <c r="DO3" s="43">
        <f t="shared" si="1"/>
        <v>44309</v>
      </c>
      <c r="DP3" s="43">
        <f t="shared" si="1"/>
        <v>44310</v>
      </c>
      <c r="DQ3" s="43">
        <f t="shared" si="1"/>
        <v>44311</v>
      </c>
      <c r="DR3" s="43">
        <f t="shared" si="1"/>
        <v>44312</v>
      </c>
      <c r="DS3" s="43">
        <f t="shared" si="1"/>
        <v>44313</v>
      </c>
      <c r="DT3" s="43">
        <f t="shared" si="1"/>
        <v>44314</v>
      </c>
      <c r="DU3" s="43">
        <f t="shared" si="1"/>
        <v>44315</v>
      </c>
      <c r="DV3" s="47">
        <f t="shared" si="1"/>
        <v>44316</v>
      </c>
      <c r="DW3" s="49">
        <f t="shared" si="1"/>
        <v>44317</v>
      </c>
      <c r="DX3" s="50">
        <f t="shared" si="1"/>
        <v>44318</v>
      </c>
      <c r="DY3" s="50">
        <f t="shared" si="1"/>
        <v>44319</v>
      </c>
      <c r="DZ3" s="50">
        <f t="shared" si="1"/>
        <v>44320</v>
      </c>
      <c r="EA3" s="50">
        <f t="shared" si="1"/>
        <v>44321</v>
      </c>
      <c r="EB3" s="50">
        <f t="shared" si="1"/>
        <v>44322</v>
      </c>
      <c r="EC3" s="50">
        <f t="shared" si="1"/>
        <v>44323</v>
      </c>
      <c r="ED3" s="50">
        <f t="shared" si="1"/>
        <v>44324</v>
      </c>
      <c r="EE3" s="50">
        <f t="shared" si="1"/>
        <v>44325</v>
      </c>
      <c r="EF3" s="50">
        <f t="shared" si="1"/>
        <v>44326</v>
      </c>
      <c r="EG3" s="50">
        <f t="shared" ref="EG3:EL3" si="2">+EF3+1</f>
        <v>44327</v>
      </c>
      <c r="EH3" s="50">
        <f t="shared" si="2"/>
        <v>44328</v>
      </c>
      <c r="EI3" s="50">
        <f t="shared" si="2"/>
        <v>44329</v>
      </c>
      <c r="EJ3" s="50">
        <f t="shared" si="2"/>
        <v>44330</v>
      </c>
      <c r="EK3" s="50">
        <f t="shared" si="2"/>
        <v>44331</v>
      </c>
      <c r="EL3" s="50">
        <f t="shared" si="2"/>
        <v>44332</v>
      </c>
      <c r="EM3" s="50">
        <f t="shared" ref="EM3:GX3" si="3">+EL3+1</f>
        <v>44333</v>
      </c>
      <c r="EN3" s="50">
        <f t="shared" si="3"/>
        <v>44334</v>
      </c>
      <c r="EO3" s="50">
        <f t="shared" si="3"/>
        <v>44335</v>
      </c>
      <c r="EP3" s="50">
        <f t="shared" si="3"/>
        <v>44336</v>
      </c>
      <c r="EQ3" s="50">
        <f t="shared" si="3"/>
        <v>44337</v>
      </c>
      <c r="ER3" s="50">
        <f t="shared" si="3"/>
        <v>44338</v>
      </c>
      <c r="ES3" s="50">
        <f t="shared" si="3"/>
        <v>44339</v>
      </c>
      <c r="ET3" s="50">
        <f t="shared" si="3"/>
        <v>44340</v>
      </c>
      <c r="EU3" s="50">
        <f t="shared" si="3"/>
        <v>44341</v>
      </c>
      <c r="EV3" s="50">
        <f t="shared" si="3"/>
        <v>44342</v>
      </c>
      <c r="EW3" s="50">
        <f t="shared" si="3"/>
        <v>44343</v>
      </c>
      <c r="EX3" s="50">
        <f t="shared" si="3"/>
        <v>44344</v>
      </c>
      <c r="EY3" s="50">
        <f t="shared" si="3"/>
        <v>44345</v>
      </c>
      <c r="EZ3" s="50">
        <f t="shared" si="3"/>
        <v>44346</v>
      </c>
      <c r="FA3" s="51">
        <f t="shared" si="3"/>
        <v>44347</v>
      </c>
      <c r="FB3" s="14">
        <f t="shared" si="3"/>
        <v>44348</v>
      </c>
      <c r="FC3" s="14">
        <f t="shared" si="3"/>
        <v>44349</v>
      </c>
      <c r="FD3" s="14">
        <f t="shared" si="3"/>
        <v>44350</v>
      </c>
      <c r="FE3" s="14">
        <f t="shared" si="3"/>
        <v>44351</v>
      </c>
      <c r="FF3" s="14">
        <f t="shared" si="3"/>
        <v>44352</v>
      </c>
      <c r="FG3" s="14">
        <f t="shared" si="3"/>
        <v>44353</v>
      </c>
      <c r="FH3" s="14">
        <f t="shared" si="3"/>
        <v>44354</v>
      </c>
      <c r="FI3" s="14">
        <f t="shared" si="3"/>
        <v>44355</v>
      </c>
      <c r="FJ3" s="14">
        <f t="shared" si="3"/>
        <v>44356</v>
      </c>
      <c r="FK3" s="14">
        <f t="shared" si="3"/>
        <v>44357</v>
      </c>
      <c r="FL3" s="14">
        <f t="shared" si="3"/>
        <v>44358</v>
      </c>
      <c r="FM3" s="14">
        <f t="shared" si="3"/>
        <v>44359</v>
      </c>
      <c r="FN3" s="14">
        <f t="shared" si="3"/>
        <v>44360</v>
      </c>
      <c r="FO3" s="14">
        <f t="shared" si="3"/>
        <v>44361</v>
      </c>
      <c r="FP3" s="14">
        <f t="shared" si="3"/>
        <v>44362</v>
      </c>
      <c r="FQ3" s="14">
        <f t="shared" si="3"/>
        <v>44363</v>
      </c>
      <c r="FR3" s="14">
        <f t="shared" si="3"/>
        <v>44364</v>
      </c>
      <c r="FS3" s="14">
        <f t="shared" si="3"/>
        <v>44365</v>
      </c>
      <c r="FT3" s="14">
        <f t="shared" si="3"/>
        <v>44366</v>
      </c>
      <c r="FU3" s="14">
        <f t="shared" si="3"/>
        <v>44367</v>
      </c>
      <c r="FV3" s="14">
        <f t="shared" si="3"/>
        <v>44368</v>
      </c>
      <c r="FW3" s="14">
        <f t="shared" si="3"/>
        <v>44369</v>
      </c>
      <c r="FX3" s="14">
        <f t="shared" si="3"/>
        <v>44370</v>
      </c>
      <c r="FY3" s="14">
        <f t="shared" si="3"/>
        <v>44371</v>
      </c>
      <c r="FZ3" s="14">
        <f t="shared" si="3"/>
        <v>44372</v>
      </c>
      <c r="GA3" s="14">
        <f t="shared" si="3"/>
        <v>44373</v>
      </c>
      <c r="GB3" s="14">
        <f t="shared" si="3"/>
        <v>44374</v>
      </c>
      <c r="GC3" s="14">
        <f t="shared" si="3"/>
        <v>44375</v>
      </c>
      <c r="GD3" s="14">
        <f t="shared" si="3"/>
        <v>44376</v>
      </c>
      <c r="GE3" s="14">
        <f t="shared" si="3"/>
        <v>44377</v>
      </c>
      <c r="GF3" s="14">
        <f t="shared" si="3"/>
        <v>44378</v>
      </c>
      <c r="GG3" s="14">
        <f t="shared" si="3"/>
        <v>44379</v>
      </c>
      <c r="GH3" s="14">
        <f t="shared" si="3"/>
        <v>44380</v>
      </c>
      <c r="GI3" s="14">
        <f t="shared" si="3"/>
        <v>44381</v>
      </c>
      <c r="GJ3" s="14">
        <f t="shared" si="3"/>
        <v>44382</v>
      </c>
      <c r="GK3" s="14">
        <f t="shared" si="3"/>
        <v>44383</v>
      </c>
      <c r="GL3" s="14">
        <f t="shared" si="3"/>
        <v>44384</v>
      </c>
      <c r="GM3" s="14">
        <f t="shared" si="3"/>
        <v>44385</v>
      </c>
      <c r="GN3" s="14">
        <f t="shared" si="3"/>
        <v>44386</v>
      </c>
      <c r="GO3" s="14">
        <f t="shared" si="3"/>
        <v>44387</v>
      </c>
      <c r="GP3" s="14">
        <f t="shared" si="3"/>
        <v>44388</v>
      </c>
      <c r="GQ3" s="14">
        <f t="shared" si="3"/>
        <v>44389</v>
      </c>
      <c r="GR3" s="14">
        <f t="shared" si="3"/>
        <v>44390</v>
      </c>
      <c r="GS3" s="14">
        <f t="shared" si="3"/>
        <v>44391</v>
      </c>
      <c r="GT3" s="14">
        <f t="shared" si="3"/>
        <v>44392</v>
      </c>
      <c r="GU3" s="14">
        <f t="shared" si="3"/>
        <v>44393</v>
      </c>
      <c r="GV3" s="14">
        <f t="shared" si="3"/>
        <v>44394</v>
      </c>
      <c r="GW3" s="14">
        <f t="shared" si="3"/>
        <v>44395</v>
      </c>
      <c r="GX3" s="14">
        <f t="shared" si="3"/>
        <v>44396</v>
      </c>
      <c r="GY3" s="14">
        <f t="shared" ref="GY3:JJ3" si="4">+GX3+1</f>
        <v>44397</v>
      </c>
      <c r="GZ3" s="14">
        <f t="shared" si="4"/>
        <v>44398</v>
      </c>
      <c r="HA3" s="14">
        <f t="shared" si="4"/>
        <v>44399</v>
      </c>
      <c r="HB3" s="14">
        <f t="shared" si="4"/>
        <v>44400</v>
      </c>
      <c r="HC3" s="14">
        <f t="shared" si="4"/>
        <v>44401</v>
      </c>
      <c r="HD3" s="14">
        <f t="shared" si="4"/>
        <v>44402</v>
      </c>
      <c r="HE3" s="14">
        <f t="shared" si="4"/>
        <v>44403</v>
      </c>
      <c r="HF3" s="14">
        <f t="shared" si="4"/>
        <v>44404</v>
      </c>
      <c r="HG3" s="14">
        <f t="shared" si="4"/>
        <v>44405</v>
      </c>
      <c r="HH3" s="14">
        <f t="shared" si="4"/>
        <v>44406</v>
      </c>
      <c r="HI3" s="14">
        <f t="shared" si="4"/>
        <v>44407</v>
      </c>
      <c r="HJ3" s="14">
        <f t="shared" si="4"/>
        <v>44408</v>
      </c>
      <c r="HK3" s="14">
        <f t="shared" si="4"/>
        <v>44409</v>
      </c>
      <c r="HL3" s="14">
        <f t="shared" si="4"/>
        <v>44410</v>
      </c>
      <c r="HM3" s="14">
        <f t="shared" si="4"/>
        <v>44411</v>
      </c>
      <c r="HN3" s="14">
        <f t="shared" si="4"/>
        <v>44412</v>
      </c>
      <c r="HO3" s="14">
        <f t="shared" si="4"/>
        <v>44413</v>
      </c>
      <c r="HP3" s="14">
        <f t="shared" si="4"/>
        <v>44414</v>
      </c>
      <c r="HQ3" s="14">
        <f t="shared" si="4"/>
        <v>44415</v>
      </c>
      <c r="HR3" s="14">
        <f t="shared" si="4"/>
        <v>44416</v>
      </c>
      <c r="HS3" s="14">
        <f t="shared" si="4"/>
        <v>44417</v>
      </c>
      <c r="HT3" s="14">
        <f t="shared" si="4"/>
        <v>44418</v>
      </c>
      <c r="HU3" s="14">
        <f t="shared" si="4"/>
        <v>44419</v>
      </c>
      <c r="HV3" s="14">
        <f t="shared" si="4"/>
        <v>44420</v>
      </c>
      <c r="HW3" s="14">
        <f t="shared" si="4"/>
        <v>44421</v>
      </c>
      <c r="HX3" s="14">
        <f t="shared" si="4"/>
        <v>44422</v>
      </c>
      <c r="HY3" s="14">
        <f t="shared" si="4"/>
        <v>44423</v>
      </c>
      <c r="HZ3" s="14">
        <f t="shared" si="4"/>
        <v>44424</v>
      </c>
      <c r="IA3" s="14">
        <f t="shared" si="4"/>
        <v>44425</v>
      </c>
      <c r="IB3" s="14">
        <f t="shared" si="4"/>
        <v>44426</v>
      </c>
      <c r="IC3" s="14">
        <f t="shared" si="4"/>
        <v>44427</v>
      </c>
      <c r="ID3" s="14">
        <f t="shared" si="4"/>
        <v>44428</v>
      </c>
      <c r="IE3" s="14">
        <f t="shared" si="4"/>
        <v>44429</v>
      </c>
      <c r="IF3" s="14">
        <f t="shared" si="4"/>
        <v>44430</v>
      </c>
      <c r="IG3" s="14">
        <f t="shared" si="4"/>
        <v>44431</v>
      </c>
      <c r="IH3" s="14">
        <f t="shared" si="4"/>
        <v>44432</v>
      </c>
      <c r="II3" s="14">
        <f t="shared" si="4"/>
        <v>44433</v>
      </c>
      <c r="IJ3" s="14">
        <f t="shared" si="4"/>
        <v>44434</v>
      </c>
      <c r="IK3" s="14">
        <f t="shared" si="4"/>
        <v>44435</v>
      </c>
      <c r="IL3" s="14">
        <f t="shared" si="4"/>
        <v>44436</v>
      </c>
      <c r="IM3" s="14">
        <f t="shared" si="4"/>
        <v>44437</v>
      </c>
      <c r="IN3" s="14">
        <f t="shared" si="4"/>
        <v>44438</v>
      </c>
      <c r="IO3" s="14">
        <f t="shared" si="4"/>
        <v>44439</v>
      </c>
      <c r="IP3" s="14">
        <f t="shared" si="4"/>
        <v>44440</v>
      </c>
      <c r="IQ3" s="14">
        <f t="shared" si="4"/>
        <v>44441</v>
      </c>
      <c r="IR3" s="14">
        <f t="shared" si="4"/>
        <v>44442</v>
      </c>
      <c r="IS3" s="14">
        <f t="shared" si="4"/>
        <v>44443</v>
      </c>
      <c r="IT3" s="14">
        <f t="shared" si="4"/>
        <v>44444</v>
      </c>
      <c r="IU3" s="14">
        <f t="shared" si="4"/>
        <v>44445</v>
      </c>
      <c r="IV3" s="14">
        <f t="shared" si="4"/>
        <v>44446</v>
      </c>
      <c r="IW3" s="14">
        <f t="shared" si="4"/>
        <v>44447</v>
      </c>
      <c r="IX3" s="14">
        <f t="shared" si="4"/>
        <v>44448</v>
      </c>
      <c r="IY3" s="14">
        <f t="shared" si="4"/>
        <v>44449</v>
      </c>
      <c r="IZ3" s="14">
        <f t="shared" si="4"/>
        <v>44450</v>
      </c>
      <c r="JA3" s="14">
        <f t="shared" si="4"/>
        <v>44451</v>
      </c>
      <c r="JB3" s="14">
        <f t="shared" si="4"/>
        <v>44452</v>
      </c>
      <c r="JC3" s="14">
        <f t="shared" si="4"/>
        <v>44453</v>
      </c>
      <c r="JD3" s="14">
        <f t="shared" si="4"/>
        <v>44454</v>
      </c>
      <c r="JE3" s="14">
        <f t="shared" si="4"/>
        <v>44455</v>
      </c>
      <c r="JF3" s="14">
        <f t="shared" si="4"/>
        <v>44456</v>
      </c>
      <c r="JG3" s="14">
        <f t="shared" si="4"/>
        <v>44457</v>
      </c>
      <c r="JH3" s="14">
        <f t="shared" si="4"/>
        <v>44458</v>
      </c>
      <c r="JI3" s="14">
        <f t="shared" si="4"/>
        <v>44459</v>
      </c>
      <c r="JJ3" s="14">
        <f t="shared" si="4"/>
        <v>44460</v>
      </c>
      <c r="JK3" s="14">
        <f t="shared" ref="JK3:KW3" si="5">+JJ3+1</f>
        <v>44461</v>
      </c>
      <c r="JL3" s="14">
        <f t="shared" si="5"/>
        <v>44462</v>
      </c>
      <c r="JM3" s="14">
        <f t="shared" si="5"/>
        <v>44463</v>
      </c>
      <c r="JN3" s="14">
        <f t="shared" si="5"/>
        <v>44464</v>
      </c>
      <c r="JO3" s="14">
        <f t="shared" si="5"/>
        <v>44465</v>
      </c>
      <c r="JP3" s="14">
        <f t="shared" si="5"/>
        <v>44466</v>
      </c>
      <c r="JQ3" s="14">
        <f t="shared" si="5"/>
        <v>44467</v>
      </c>
      <c r="JR3" s="14">
        <f t="shared" si="5"/>
        <v>44468</v>
      </c>
      <c r="JS3" s="14">
        <f t="shared" si="5"/>
        <v>44469</v>
      </c>
      <c r="JT3" s="14">
        <f t="shared" si="5"/>
        <v>44470</v>
      </c>
      <c r="JU3" s="14">
        <f t="shared" si="5"/>
        <v>44471</v>
      </c>
      <c r="JV3" s="14">
        <f t="shared" si="5"/>
        <v>44472</v>
      </c>
      <c r="JW3" s="14">
        <f t="shared" si="5"/>
        <v>44473</v>
      </c>
      <c r="JX3" s="14">
        <f t="shared" si="5"/>
        <v>44474</v>
      </c>
      <c r="JY3" s="14">
        <f t="shared" si="5"/>
        <v>44475</v>
      </c>
      <c r="JZ3" s="14">
        <f t="shared" si="5"/>
        <v>44476</v>
      </c>
      <c r="KA3" s="14">
        <f t="shared" si="5"/>
        <v>44477</v>
      </c>
      <c r="KB3" s="14">
        <f t="shared" si="5"/>
        <v>44478</v>
      </c>
      <c r="KC3" s="14">
        <f t="shared" si="5"/>
        <v>44479</v>
      </c>
      <c r="KD3" s="14">
        <f t="shared" si="5"/>
        <v>44480</v>
      </c>
      <c r="KE3" s="14">
        <f t="shared" si="5"/>
        <v>44481</v>
      </c>
      <c r="KF3" s="14">
        <f t="shared" si="5"/>
        <v>44482</v>
      </c>
      <c r="KG3" s="14">
        <f t="shared" si="5"/>
        <v>44483</v>
      </c>
      <c r="KH3" s="14">
        <f t="shared" si="5"/>
        <v>44484</v>
      </c>
      <c r="KI3" s="14">
        <f t="shared" si="5"/>
        <v>44485</v>
      </c>
      <c r="KJ3" s="14">
        <f t="shared" si="5"/>
        <v>44486</v>
      </c>
      <c r="KK3" s="14">
        <f t="shared" si="5"/>
        <v>44487</v>
      </c>
      <c r="KL3" s="14">
        <f t="shared" si="5"/>
        <v>44488</v>
      </c>
      <c r="KM3" s="14">
        <f t="shared" si="5"/>
        <v>44489</v>
      </c>
      <c r="KN3" s="14">
        <f t="shared" si="5"/>
        <v>44490</v>
      </c>
      <c r="KO3" s="14">
        <f t="shared" si="5"/>
        <v>44491</v>
      </c>
      <c r="KP3" s="14">
        <f t="shared" si="5"/>
        <v>44492</v>
      </c>
      <c r="KQ3" s="14">
        <f t="shared" si="5"/>
        <v>44493</v>
      </c>
      <c r="KR3" s="14">
        <f t="shared" si="5"/>
        <v>44494</v>
      </c>
      <c r="KS3" s="14">
        <f t="shared" si="5"/>
        <v>44495</v>
      </c>
      <c r="KT3" s="14">
        <f t="shared" si="5"/>
        <v>44496</v>
      </c>
      <c r="KU3" s="14">
        <f t="shared" si="5"/>
        <v>44497</v>
      </c>
      <c r="KV3" s="14">
        <f t="shared" si="5"/>
        <v>44498</v>
      </c>
      <c r="KW3" s="14">
        <f t="shared" si="5"/>
        <v>44499</v>
      </c>
      <c r="KX3" s="14">
        <f t="shared" ref="KX3:NG3" si="6">+KW3+1</f>
        <v>44500</v>
      </c>
      <c r="KY3" s="14">
        <f t="shared" si="6"/>
        <v>44501</v>
      </c>
      <c r="KZ3" s="14">
        <f t="shared" si="6"/>
        <v>44502</v>
      </c>
      <c r="LA3" s="14">
        <f t="shared" si="6"/>
        <v>44503</v>
      </c>
      <c r="LB3" s="14">
        <f t="shared" si="6"/>
        <v>44504</v>
      </c>
      <c r="LC3" s="14">
        <f t="shared" si="6"/>
        <v>44505</v>
      </c>
      <c r="LD3" s="14">
        <f t="shared" si="6"/>
        <v>44506</v>
      </c>
      <c r="LE3" s="14">
        <f t="shared" si="6"/>
        <v>44507</v>
      </c>
      <c r="LF3" s="14">
        <f t="shared" si="6"/>
        <v>44508</v>
      </c>
      <c r="LG3" s="14">
        <f t="shared" si="6"/>
        <v>44509</v>
      </c>
      <c r="LH3" s="14">
        <f t="shared" si="6"/>
        <v>44510</v>
      </c>
      <c r="LI3" s="14">
        <f t="shared" si="6"/>
        <v>44511</v>
      </c>
      <c r="LJ3" s="14">
        <f t="shared" si="6"/>
        <v>44512</v>
      </c>
      <c r="LK3" s="14">
        <f t="shared" si="6"/>
        <v>44513</v>
      </c>
      <c r="LL3" s="14">
        <f t="shared" si="6"/>
        <v>44514</v>
      </c>
      <c r="LM3" s="14">
        <f t="shared" si="6"/>
        <v>44515</v>
      </c>
      <c r="LN3" s="14">
        <f t="shared" si="6"/>
        <v>44516</v>
      </c>
      <c r="LO3" s="14">
        <f t="shared" si="6"/>
        <v>44517</v>
      </c>
      <c r="LP3" s="14">
        <f t="shared" si="6"/>
        <v>44518</v>
      </c>
      <c r="LQ3" s="14">
        <f t="shared" si="6"/>
        <v>44519</v>
      </c>
      <c r="LR3" s="14">
        <f t="shared" si="6"/>
        <v>44520</v>
      </c>
      <c r="LS3" s="14">
        <f t="shared" si="6"/>
        <v>44521</v>
      </c>
      <c r="LT3" s="14">
        <f t="shared" si="6"/>
        <v>44522</v>
      </c>
      <c r="LU3" s="14">
        <f t="shared" si="6"/>
        <v>44523</v>
      </c>
      <c r="LV3" s="14">
        <f t="shared" si="6"/>
        <v>44524</v>
      </c>
      <c r="LW3" s="14">
        <f t="shared" si="6"/>
        <v>44525</v>
      </c>
      <c r="LX3" s="14">
        <f t="shared" si="6"/>
        <v>44526</v>
      </c>
      <c r="LY3" s="14">
        <f t="shared" si="6"/>
        <v>44527</v>
      </c>
      <c r="LZ3" s="14">
        <f t="shared" si="6"/>
        <v>44528</v>
      </c>
      <c r="MA3" s="14">
        <f t="shared" si="6"/>
        <v>44529</v>
      </c>
      <c r="MB3" s="14">
        <f t="shared" si="6"/>
        <v>44530</v>
      </c>
      <c r="MC3" s="14">
        <f t="shared" si="6"/>
        <v>44531</v>
      </c>
      <c r="MD3" s="14">
        <f t="shared" si="6"/>
        <v>44532</v>
      </c>
      <c r="ME3" s="14">
        <f t="shared" si="6"/>
        <v>44533</v>
      </c>
      <c r="MF3" s="14">
        <f t="shared" si="6"/>
        <v>44534</v>
      </c>
      <c r="MG3" s="14">
        <f t="shared" si="6"/>
        <v>44535</v>
      </c>
      <c r="MH3" s="14">
        <f t="shared" si="6"/>
        <v>44536</v>
      </c>
      <c r="MI3" s="14">
        <f t="shared" si="6"/>
        <v>44537</v>
      </c>
      <c r="MJ3" s="14">
        <f t="shared" si="6"/>
        <v>44538</v>
      </c>
      <c r="MK3" s="14">
        <f t="shared" si="6"/>
        <v>44539</v>
      </c>
      <c r="ML3" s="14">
        <f t="shared" si="6"/>
        <v>44540</v>
      </c>
      <c r="MM3" s="14">
        <f t="shared" si="6"/>
        <v>44541</v>
      </c>
      <c r="MN3" s="14">
        <f t="shared" si="6"/>
        <v>44542</v>
      </c>
      <c r="MO3" s="14">
        <f t="shared" si="6"/>
        <v>44543</v>
      </c>
      <c r="MP3" s="14">
        <f t="shared" si="6"/>
        <v>44544</v>
      </c>
      <c r="MQ3" s="14">
        <f t="shared" si="6"/>
        <v>44545</v>
      </c>
      <c r="MR3" s="14">
        <f t="shared" si="6"/>
        <v>44546</v>
      </c>
      <c r="MS3" s="14">
        <f t="shared" si="6"/>
        <v>44547</v>
      </c>
      <c r="MT3" s="14">
        <f t="shared" si="6"/>
        <v>44548</v>
      </c>
      <c r="MU3" s="14">
        <f t="shared" si="6"/>
        <v>44549</v>
      </c>
      <c r="MV3" s="14">
        <f t="shared" si="6"/>
        <v>44550</v>
      </c>
      <c r="MW3" s="14">
        <f t="shared" si="6"/>
        <v>44551</v>
      </c>
      <c r="MX3" s="14">
        <f t="shared" si="6"/>
        <v>44552</v>
      </c>
      <c r="MY3" s="14">
        <f t="shared" si="6"/>
        <v>44553</v>
      </c>
      <c r="MZ3" s="14">
        <f t="shared" si="6"/>
        <v>44554</v>
      </c>
      <c r="NA3" s="14">
        <f t="shared" si="6"/>
        <v>44555</v>
      </c>
      <c r="NB3" s="14">
        <f t="shared" si="6"/>
        <v>44556</v>
      </c>
      <c r="NC3" s="14">
        <f t="shared" si="6"/>
        <v>44557</v>
      </c>
      <c r="ND3" s="14">
        <f t="shared" si="6"/>
        <v>44558</v>
      </c>
      <c r="NE3" s="14">
        <f t="shared" si="6"/>
        <v>44559</v>
      </c>
      <c r="NF3" s="14">
        <f t="shared" si="6"/>
        <v>44560</v>
      </c>
      <c r="NG3" s="14">
        <f t="shared" si="6"/>
        <v>44561</v>
      </c>
    </row>
    <row r="4" spans="1:372" x14ac:dyDescent="0.2">
      <c r="A4" s="18" t="s">
        <v>27</v>
      </c>
      <c r="B4" s="18" t="s">
        <v>74</v>
      </c>
      <c r="C4" s="19">
        <v>44201</v>
      </c>
      <c r="D4" s="59">
        <v>15</v>
      </c>
      <c r="E4" s="19">
        <v>44224</v>
      </c>
      <c r="G4" s="22"/>
      <c r="H4" s="23"/>
      <c r="I4" s="23"/>
      <c r="J4" s="23"/>
      <c r="K4" s="23"/>
      <c r="L4" s="23"/>
      <c r="M4" s="23"/>
      <c r="N4" s="23"/>
      <c r="O4" s="23"/>
      <c r="P4" s="23"/>
      <c r="Q4" s="23"/>
      <c r="R4" s="23"/>
      <c r="S4" s="23"/>
      <c r="T4" s="23"/>
      <c r="U4" s="23"/>
      <c r="V4" s="23"/>
      <c r="W4" s="23"/>
      <c r="X4" s="23"/>
      <c r="Y4" s="23"/>
      <c r="Z4" s="23"/>
      <c r="AA4" s="23"/>
      <c r="AB4" s="23"/>
      <c r="AC4" s="23"/>
      <c r="AD4" s="23"/>
      <c r="AE4" s="23"/>
      <c r="AF4" s="23"/>
      <c r="AG4" s="23"/>
      <c r="AH4" s="23"/>
      <c r="AI4" s="23"/>
      <c r="AJ4" s="23"/>
      <c r="AK4" s="25"/>
      <c r="AL4" s="28"/>
      <c r="AM4" s="23"/>
      <c r="AN4" s="23"/>
      <c r="AO4" s="23"/>
      <c r="AP4" s="23"/>
      <c r="AQ4" s="23"/>
      <c r="AR4" s="23"/>
      <c r="AS4" s="23"/>
      <c r="AT4" s="23"/>
      <c r="AU4" s="23"/>
      <c r="AV4" s="23"/>
      <c r="AW4" s="23"/>
      <c r="AX4" s="23"/>
      <c r="AY4" s="23"/>
      <c r="AZ4" s="23"/>
      <c r="BA4" s="23"/>
      <c r="BB4" s="23"/>
      <c r="BC4" s="23"/>
      <c r="BD4" s="23"/>
      <c r="BE4" s="23"/>
      <c r="BF4" s="23"/>
      <c r="BG4" s="23"/>
      <c r="BH4" s="23"/>
      <c r="BI4" s="23"/>
      <c r="BJ4" s="23"/>
      <c r="BK4" s="23"/>
      <c r="BL4" s="23"/>
      <c r="BM4" s="25"/>
      <c r="BN4" s="35"/>
      <c r="BO4" s="36"/>
      <c r="BP4" s="36"/>
      <c r="BQ4" s="36"/>
      <c r="BR4" s="36"/>
      <c r="BS4" s="36"/>
      <c r="BT4" s="36"/>
      <c r="BU4" s="36"/>
      <c r="BV4" s="36"/>
      <c r="BW4" s="36"/>
      <c r="BX4" s="36"/>
      <c r="BY4" s="36"/>
      <c r="BZ4" s="36"/>
      <c r="CA4" s="36"/>
      <c r="CB4" s="36"/>
      <c r="CC4" s="36"/>
      <c r="CD4" s="36"/>
      <c r="CE4" s="36"/>
      <c r="CF4" s="36"/>
      <c r="CG4" s="36"/>
      <c r="CH4" s="36"/>
      <c r="CI4" s="36"/>
      <c r="CJ4" s="36"/>
      <c r="CK4" s="36"/>
      <c r="CL4" s="36"/>
      <c r="CM4" s="36"/>
      <c r="CN4" s="36"/>
      <c r="CO4" s="36"/>
      <c r="CP4" s="36"/>
      <c r="CQ4" s="36"/>
      <c r="CR4" s="40"/>
      <c r="CS4" s="44"/>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40"/>
      <c r="DW4" s="52"/>
      <c r="DX4" s="36"/>
      <c r="DY4" s="36"/>
      <c r="DZ4" s="36"/>
      <c r="EA4" s="36"/>
      <c r="EB4" s="36"/>
      <c r="EC4" s="36"/>
      <c r="ED4" s="36"/>
      <c r="EE4" s="36"/>
      <c r="EF4" s="36"/>
      <c r="EG4" s="36"/>
      <c r="EH4" s="36"/>
      <c r="EI4" s="36"/>
      <c r="EJ4" s="36"/>
      <c r="EK4" s="36"/>
      <c r="EL4" s="36"/>
      <c r="EM4" s="36"/>
      <c r="EN4" s="36"/>
      <c r="EO4" s="36"/>
      <c r="EP4" s="36"/>
      <c r="EQ4" s="36"/>
      <c r="ER4" s="36"/>
      <c r="ES4" s="36"/>
      <c r="ET4" s="36"/>
      <c r="EU4" s="36"/>
      <c r="EV4" s="36"/>
      <c r="EW4" s="36"/>
      <c r="EX4" s="36"/>
      <c r="EY4" s="36"/>
      <c r="EZ4" s="36"/>
      <c r="FA4" s="53"/>
      <c r="NH4" t="s">
        <v>55</v>
      </c>
    </row>
    <row r="5" spans="1:372" x14ac:dyDescent="0.2">
      <c r="A5" s="18" t="s">
        <v>48</v>
      </c>
      <c r="B5" s="18" t="s">
        <v>75</v>
      </c>
      <c r="C5" s="19">
        <v>44206</v>
      </c>
      <c r="D5" s="59">
        <v>10</v>
      </c>
      <c r="E5" s="19">
        <v>44221</v>
      </c>
      <c r="G5" s="22"/>
      <c r="H5" s="23"/>
      <c r="I5" s="23"/>
      <c r="J5" s="23"/>
      <c r="K5" s="23"/>
      <c r="L5" s="23"/>
      <c r="M5" s="23"/>
      <c r="N5" s="23"/>
      <c r="O5" s="23"/>
      <c r="P5" s="23"/>
      <c r="Q5" s="23"/>
      <c r="R5" s="23"/>
      <c r="S5" s="23"/>
      <c r="T5" s="23"/>
      <c r="U5" s="23"/>
      <c r="V5" s="23"/>
      <c r="W5" s="23"/>
      <c r="X5" s="23"/>
      <c r="Y5" s="23"/>
      <c r="Z5" s="23"/>
      <c r="AA5" s="23"/>
      <c r="AB5" s="23"/>
      <c r="AC5" s="23"/>
      <c r="AD5" s="23"/>
      <c r="AE5" s="23"/>
      <c r="AF5" s="23"/>
      <c r="AG5" s="23"/>
      <c r="AH5" s="23"/>
      <c r="AI5" s="23"/>
      <c r="AJ5" s="23"/>
      <c r="AK5" s="25"/>
      <c r="AL5" s="28"/>
      <c r="AM5" s="23"/>
      <c r="AN5" s="23"/>
      <c r="AO5" s="23"/>
      <c r="AP5" s="23"/>
      <c r="AQ5" s="23"/>
      <c r="AR5" s="23"/>
      <c r="AS5" s="23"/>
      <c r="AT5" s="23"/>
      <c r="AU5" s="23"/>
      <c r="AV5" s="23"/>
      <c r="AW5" s="23"/>
      <c r="AX5" s="23"/>
      <c r="AY5" s="23"/>
      <c r="AZ5" s="23"/>
      <c r="BA5" s="23"/>
      <c r="BB5" s="23"/>
      <c r="BC5" s="23"/>
      <c r="BD5" s="23"/>
      <c r="BE5" s="23"/>
      <c r="BF5" s="23"/>
      <c r="BG5" s="23"/>
      <c r="BH5" s="23"/>
      <c r="BI5" s="23"/>
      <c r="BJ5" s="23"/>
      <c r="BK5" s="23"/>
      <c r="BL5" s="23"/>
      <c r="BM5" s="25"/>
      <c r="BN5" s="35"/>
      <c r="BO5" s="36"/>
      <c r="BP5" s="36"/>
      <c r="BQ5" s="36"/>
      <c r="BR5" s="36"/>
      <c r="BS5" s="36"/>
      <c r="BT5" s="36"/>
      <c r="BU5" s="36"/>
      <c r="BV5" s="36"/>
      <c r="BW5" s="36"/>
      <c r="BX5" s="36"/>
      <c r="BY5" s="36"/>
      <c r="BZ5" s="36"/>
      <c r="CA5" s="36"/>
      <c r="CB5" s="36"/>
      <c r="CC5" s="36"/>
      <c r="CD5" s="36"/>
      <c r="CE5" s="36"/>
      <c r="CF5" s="36"/>
      <c r="CG5" s="36"/>
      <c r="CH5" s="36"/>
      <c r="CI5" s="36"/>
      <c r="CJ5" s="36"/>
      <c r="CK5" s="36"/>
      <c r="CL5" s="36"/>
      <c r="CM5" s="36"/>
      <c r="CN5" s="36"/>
      <c r="CO5" s="36"/>
      <c r="CP5" s="36"/>
      <c r="CQ5" s="36"/>
      <c r="CR5" s="40"/>
      <c r="CS5" s="44"/>
      <c r="CT5" s="36"/>
      <c r="CU5" s="36"/>
      <c r="CV5" s="36"/>
      <c r="CW5" s="36"/>
      <c r="CX5" s="36"/>
      <c r="CY5" s="36"/>
      <c r="CZ5" s="36"/>
      <c r="DA5" s="36"/>
      <c r="DB5" s="36"/>
      <c r="DC5" s="36"/>
      <c r="DD5" s="36"/>
      <c r="DE5" s="36"/>
      <c r="DF5" s="36"/>
      <c r="DG5" s="36"/>
      <c r="DH5" s="36"/>
      <c r="DI5" s="36"/>
      <c r="DJ5" s="36"/>
      <c r="DK5" s="36"/>
      <c r="DL5" s="36"/>
      <c r="DM5" s="36"/>
      <c r="DN5" s="36"/>
      <c r="DO5" s="36"/>
      <c r="DP5" s="36"/>
      <c r="DQ5" s="36"/>
      <c r="DR5" s="36"/>
      <c r="DS5" s="36"/>
      <c r="DT5" s="36"/>
      <c r="DU5" s="36"/>
      <c r="DV5" s="40"/>
      <c r="DW5" s="52"/>
      <c r="DX5" s="36"/>
      <c r="DY5" s="36"/>
      <c r="DZ5" s="36"/>
      <c r="EA5" s="36"/>
      <c r="EB5" s="36"/>
      <c r="EC5" s="36"/>
      <c r="ED5" s="36"/>
      <c r="EE5" s="36"/>
      <c r="EF5" s="36"/>
      <c r="EG5" s="36"/>
      <c r="EH5" s="36"/>
      <c r="EI5" s="36"/>
      <c r="EJ5" s="36"/>
      <c r="EK5" s="36"/>
      <c r="EL5" s="36"/>
      <c r="EM5" s="36"/>
      <c r="EN5" s="36"/>
      <c r="EO5" s="36"/>
      <c r="EP5" s="36"/>
      <c r="EQ5" s="36"/>
      <c r="ER5" s="36"/>
      <c r="ES5" s="36"/>
      <c r="ET5" s="36"/>
      <c r="EU5" s="36"/>
      <c r="EV5" s="36"/>
      <c r="EW5" s="36"/>
      <c r="EX5" s="36"/>
      <c r="EY5" s="36"/>
      <c r="EZ5" s="36"/>
      <c r="FA5" s="53"/>
    </row>
    <row r="6" spans="1:372" x14ac:dyDescent="0.2">
      <c r="A6" s="18" t="s">
        <v>49</v>
      </c>
      <c r="B6" s="18" t="s">
        <v>29</v>
      </c>
      <c r="C6" s="19">
        <v>44197</v>
      </c>
      <c r="D6" s="59">
        <v>10</v>
      </c>
      <c r="E6" s="19">
        <v>44215</v>
      </c>
      <c r="G6" s="22"/>
      <c r="H6" s="23"/>
      <c r="I6" s="23"/>
      <c r="J6" s="23"/>
      <c r="K6" s="23"/>
      <c r="L6" s="23"/>
      <c r="M6" s="23"/>
      <c r="N6" s="23"/>
      <c r="O6" s="23"/>
      <c r="P6" s="23"/>
      <c r="Q6" s="23"/>
      <c r="R6" s="23"/>
      <c r="S6" s="23"/>
      <c r="T6" s="23"/>
      <c r="U6" s="23"/>
      <c r="V6" s="23"/>
      <c r="W6" s="23"/>
      <c r="X6" s="23"/>
      <c r="Y6" s="23"/>
      <c r="Z6" s="23"/>
      <c r="AA6" s="23"/>
      <c r="AB6" s="23"/>
      <c r="AC6" s="23"/>
      <c r="AD6" s="23"/>
      <c r="AE6" s="23"/>
      <c r="AF6" s="23"/>
      <c r="AG6" s="23"/>
      <c r="AH6" s="23"/>
      <c r="AI6" s="23"/>
      <c r="AJ6" s="23"/>
      <c r="AK6" s="25"/>
      <c r="AL6" s="28"/>
      <c r="AM6" s="23"/>
      <c r="AN6" s="23"/>
      <c r="AO6" s="23"/>
      <c r="AP6" s="23"/>
      <c r="AQ6" s="23"/>
      <c r="AR6" s="23"/>
      <c r="AS6" s="23"/>
      <c r="AT6" s="23"/>
      <c r="AU6" s="23"/>
      <c r="AV6" s="23"/>
      <c r="AW6" s="23"/>
      <c r="AX6" s="23"/>
      <c r="AY6" s="23"/>
      <c r="AZ6" s="23"/>
      <c r="BA6" s="23"/>
      <c r="BB6" s="23"/>
      <c r="BC6" s="23"/>
      <c r="BD6" s="23"/>
      <c r="BE6" s="23"/>
      <c r="BF6" s="23"/>
      <c r="BG6" s="23"/>
      <c r="BH6" s="23"/>
      <c r="BI6" s="23"/>
      <c r="BJ6" s="23"/>
      <c r="BK6" s="23"/>
      <c r="BL6" s="23"/>
      <c r="BM6" s="25"/>
      <c r="BN6" s="35"/>
      <c r="BO6" s="36"/>
      <c r="BP6" s="36"/>
      <c r="BQ6" s="36"/>
      <c r="BR6" s="36"/>
      <c r="BS6" s="36"/>
      <c r="BT6" s="36"/>
      <c r="BU6" s="36"/>
      <c r="BV6" s="36"/>
      <c r="BW6" s="36"/>
      <c r="BX6" s="36"/>
      <c r="BY6" s="36"/>
      <c r="BZ6" s="36"/>
      <c r="CA6" s="36"/>
      <c r="CB6" s="36"/>
      <c r="CC6" s="36"/>
      <c r="CD6" s="36"/>
      <c r="CE6" s="36"/>
      <c r="CF6" s="36"/>
      <c r="CG6" s="36"/>
      <c r="CH6" s="36"/>
      <c r="CI6" s="36"/>
      <c r="CJ6" s="36"/>
      <c r="CK6" s="36"/>
      <c r="CL6" s="36"/>
      <c r="CM6" s="36"/>
      <c r="CN6" s="36"/>
      <c r="CO6" s="36"/>
      <c r="CP6" s="36"/>
      <c r="CQ6" s="36"/>
      <c r="CR6" s="40"/>
      <c r="CS6" s="44"/>
      <c r="CT6" s="36"/>
      <c r="CU6" s="36"/>
      <c r="CV6" s="36"/>
      <c r="CW6" s="36"/>
      <c r="CX6" s="36"/>
      <c r="CY6" s="36"/>
      <c r="CZ6" s="36"/>
      <c r="DA6" s="36"/>
      <c r="DB6" s="36"/>
      <c r="DC6" s="36"/>
      <c r="DD6" s="36"/>
      <c r="DE6" s="36"/>
      <c r="DF6" s="36"/>
      <c r="DG6" s="36"/>
      <c r="DH6" s="36"/>
      <c r="DI6" s="36"/>
      <c r="DJ6" s="36"/>
      <c r="DK6" s="36"/>
      <c r="DL6" s="36"/>
      <c r="DM6" s="36"/>
      <c r="DN6" s="36"/>
      <c r="DO6" s="36"/>
      <c r="DP6" s="36"/>
      <c r="DQ6" s="36"/>
      <c r="DR6" s="36"/>
      <c r="DS6" s="36"/>
      <c r="DT6" s="36"/>
      <c r="DU6" s="36"/>
      <c r="DV6" s="40"/>
      <c r="DW6" s="52"/>
      <c r="DX6" s="36"/>
      <c r="DY6" s="36"/>
      <c r="DZ6" s="36"/>
      <c r="EA6" s="36"/>
      <c r="EB6" s="36"/>
      <c r="EC6" s="36"/>
      <c r="ED6" s="36"/>
      <c r="EE6" s="36"/>
      <c r="EF6" s="36"/>
      <c r="EG6" s="36"/>
      <c r="EH6" s="36"/>
      <c r="EI6" s="36"/>
      <c r="EJ6" s="36"/>
      <c r="EK6" s="36"/>
      <c r="EL6" s="36"/>
      <c r="EM6" s="36"/>
      <c r="EN6" s="36"/>
      <c r="EO6" s="36"/>
      <c r="EP6" s="36"/>
      <c r="EQ6" s="36"/>
      <c r="ER6" s="36"/>
      <c r="ES6" s="36"/>
      <c r="ET6" s="36"/>
      <c r="EU6" s="36"/>
      <c r="EV6" s="36"/>
      <c r="EW6" s="36"/>
      <c r="EX6" s="36"/>
      <c r="EY6" s="36"/>
      <c r="EZ6" s="36"/>
      <c r="FA6" s="53"/>
    </row>
    <row r="7" spans="1:372" x14ac:dyDescent="0.2">
      <c r="A7" s="18" t="s">
        <v>73</v>
      </c>
      <c r="B7" s="18" t="s">
        <v>74</v>
      </c>
      <c r="C7" s="19">
        <v>44216</v>
      </c>
      <c r="D7" s="59">
        <v>50</v>
      </c>
      <c r="E7" s="19">
        <v>44286</v>
      </c>
      <c r="G7" s="22"/>
      <c r="H7" s="23"/>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5"/>
      <c r="AL7" s="28"/>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5"/>
      <c r="BN7" s="35"/>
      <c r="BO7" s="36"/>
      <c r="BP7" s="36"/>
      <c r="BQ7" s="36"/>
      <c r="BR7" s="36"/>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40"/>
      <c r="CS7" s="44"/>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c r="DU7" s="36"/>
      <c r="DV7" s="40"/>
      <c r="DW7" s="52"/>
      <c r="DX7" s="36"/>
      <c r="DY7" s="36"/>
      <c r="DZ7" s="36"/>
      <c r="EA7" s="36"/>
      <c r="EB7" s="36"/>
      <c r="EC7" s="36"/>
      <c r="ED7" s="36"/>
      <c r="EE7" s="36"/>
      <c r="EF7" s="36"/>
      <c r="EG7" s="36"/>
      <c r="EH7" s="36"/>
      <c r="EI7" s="36"/>
      <c r="EJ7" s="36"/>
      <c r="EK7" s="36"/>
      <c r="EL7" s="36"/>
      <c r="EM7" s="36"/>
      <c r="EN7" s="36"/>
      <c r="EO7" s="36"/>
      <c r="EP7" s="36"/>
      <c r="EQ7" s="36"/>
      <c r="ER7" s="36"/>
      <c r="ES7" s="36"/>
      <c r="ET7" s="36"/>
      <c r="EU7" s="36"/>
      <c r="EV7" s="36"/>
      <c r="EW7" s="36"/>
      <c r="EX7" s="36"/>
      <c r="EY7" s="36"/>
      <c r="EZ7" s="36"/>
      <c r="FA7" s="53"/>
    </row>
    <row r="8" spans="1:372" x14ac:dyDescent="0.2">
      <c r="A8" s="18" t="s">
        <v>88</v>
      </c>
      <c r="B8" s="18" t="s">
        <v>74</v>
      </c>
      <c r="C8" s="19">
        <v>44216</v>
      </c>
      <c r="D8" s="59">
        <v>50</v>
      </c>
      <c r="E8" s="19">
        <v>44286</v>
      </c>
      <c r="G8" s="22"/>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5"/>
      <c r="AL8" s="28"/>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5"/>
      <c r="BN8" s="35"/>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40"/>
      <c r="CS8" s="44"/>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c r="DV8" s="40"/>
      <c r="DW8" s="52"/>
      <c r="DX8" s="36"/>
      <c r="DY8" s="36"/>
      <c r="DZ8" s="36"/>
      <c r="EA8" s="36"/>
      <c r="EB8" s="36"/>
      <c r="EC8" s="36"/>
      <c r="ED8" s="36"/>
      <c r="EE8" s="36"/>
      <c r="EF8" s="36"/>
      <c r="EG8" s="36"/>
      <c r="EH8" s="36"/>
      <c r="EI8" s="36"/>
      <c r="EJ8" s="36"/>
      <c r="EK8" s="36"/>
      <c r="EL8" s="36"/>
      <c r="EM8" s="36"/>
      <c r="EN8" s="36"/>
      <c r="EO8" s="36"/>
      <c r="EP8" s="36"/>
      <c r="EQ8" s="36"/>
      <c r="ER8" s="36"/>
      <c r="ES8" s="36"/>
      <c r="ET8" s="36"/>
      <c r="EU8" s="36"/>
      <c r="EV8" s="36"/>
      <c r="EW8" s="36"/>
      <c r="EX8" s="36"/>
      <c r="EY8" s="36"/>
      <c r="EZ8" s="36"/>
      <c r="FA8" s="53"/>
    </row>
    <row r="9" spans="1:372" x14ac:dyDescent="0.2">
      <c r="A9" s="18" t="s">
        <v>89</v>
      </c>
      <c r="B9" s="18" t="s">
        <v>74</v>
      </c>
      <c r="C9" s="19">
        <v>44216</v>
      </c>
      <c r="D9" s="59">
        <v>50</v>
      </c>
      <c r="E9" s="19">
        <v>44286</v>
      </c>
      <c r="G9" s="22"/>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5"/>
      <c r="AL9" s="28"/>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5"/>
      <c r="BN9" s="35"/>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40"/>
      <c r="CS9" s="44"/>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c r="DV9" s="40"/>
      <c r="DW9" s="52"/>
      <c r="DX9" s="36"/>
      <c r="DY9" s="36"/>
      <c r="DZ9" s="36"/>
      <c r="EA9" s="36"/>
      <c r="EB9" s="36"/>
      <c r="EC9" s="36"/>
      <c r="ED9" s="36"/>
      <c r="EE9" s="36"/>
      <c r="EF9" s="36"/>
      <c r="EG9" s="36"/>
      <c r="EH9" s="36"/>
      <c r="EI9" s="36"/>
      <c r="EJ9" s="36"/>
      <c r="EK9" s="36"/>
      <c r="EL9" s="36"/>
      <c r="EM9" s="36"/>
      <c r="EN9" s="36"/>
      <c r="EO9" s="36"/>
      <c r="EP9" s="36"/>
      <c r="EQ9" s="36"/>
      <c r="ER9" s="36"/>
      <c r="ES9" s="36"/>
      <c r="ET9" s="36"/>
      <c r="EU9" s="36"/>
      <c r="EV9" s="36"/>
      <c r="EW9" s="36"/>
      <c r="EX9" s="36"/>
      <c r="EY9" s="36"/>
      <c r="EZ9" s="36"/>
      <c r="FA9" s="53"/>
    </row>
    <row r="10" spans="1:372" x14ac:dyDescent="0.2">
      <c r="A10" s="18" t="s">
        <v>90</v>
      </c>
      <c r="B10" s="18" t="s">
        <v>74</v>
      </c>
      <c r="C10" s="19">
        <v>44216</v>
      </c>
      <c r="D10" s="59">
        <v>50</v>
      </c>
      <c r="E10" s="19">
        <v>44286</v>
      </c>
      <c r="G10" s="22"/>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5"/>
      <c r="AL10" s="28"/>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5"/>
      <c r="BN10" s="35"/>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40"/>
      <c r="CS10" s="44"/>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c r="DV10" s="40"/>
      <c r="DW10" s="52"/>
      <c r="DX10" s="36"/>
      <c r="DY10" s="36"/>
      <c r="DZ10" s="36"/>
      <c r="EA10" s="36"/>
      <c r="EB10" s="36"/>
      <c r="EC10" s="36"/>
      <c r="ED10" s="36"/>
      <c r="EE10" s="36"/>
      <c r="EF10" s="36"/>
      <c r="EG10" s="36"/>
      <c r="EH10" s="36"/>
      <c r="EI10" s="36"/>
      <c r="EJ10" s="36"/>
      <c r="EK10" s="36"/>
      <c r="EL10" s="36"/>
      <c r="EM10" s="36"/>
      <c r="EN10" s="36"/>
      <c r="EO10" s="36"/>
      <c r="EP10" s="36"/>
      <c r="EQ10" s="36"/>
      <c r="ER10" s="36"/>
      <c r="ES10" s="36"/>
      <c r="ET10" s="36"/>
      <c r="EU10" s="36"/>
      <c r="EV10" s="36"/>
      <c r="EW10" s="36"/>
      <c r="EX10" s="36"/>
      <c r="EY10" s="36"/>
      <c r="EZ10" s="36"/>
      <c r="FA10" s="53"/>
    </row>
    <row r="11" spans="1:372" x14ac:dyDescent="0.2">
      <c r="A11" s="18"/>
      <c r="B11" s="18"/>
      <c r="C11" s="19"/>
      <c r="D11" s="59"/>
      <c r="E11" s="19"/>
      <c r="G11" s="22"/>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5"/>
      <c r="AL11" s="28"/>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5"/>
      <c r="BN11" s="35"/>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40"/>
      <c r="CS11" s="44"/>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c r="DV11" s="40"/>
      <c r="DW11" s="52"/>
      <c r="DX11" s="36"/>
      <c r="DY11" s="36"/>
      <c r="DZ11" s="36"/>
      <c r="EA11" s="36"/>
      <c r="EB11" s="36"/>
      <c r="EC11" s="36"/>
      <c r="ED11" s="36"/>
      <c r="EE11" s="36"/>
      <c r="EF11" s="36"/>
      <c r="EG11" s="36"/>
      <c r="EH11" s="36"/>
      <c r="EI11" s="36"/>
      <c r="EJ11" s="36"/>
      <c r="EK11" s="36"/>
      <c r="EL11" s="36"/>
      <c r="EM11" s="36"/>
      <c r="EN11" s="36"/>
      <c r="EO11" s="36"/>
      <c r="EP11" s="36"/>
      <c r="EQ11" s="36"/>
      <c r="ER11" s="36"/>
      <c r="ES11" s="36"/>
      <c r="ET11" s="36"/>
      <c r="EU11" s="36"/>
      <c r="EV11" s="36"/>
      <c r="EW11" s="36"/>
      <c r="EX11" s="36"/>
      <c r="EY11" s="36"/>
      <c r="EZ11" s="36"/>
      <c r="FA11" s="53"/>
    </row>
    <row r="12" spans="1:372" x14ac:dyDescent="0.2">
      <c r="A12" s="18"/>
      <c r="B12" s="18"/>
      <c r="C12" s="19"/>
      <c r="D12" s="59"/>
      <c r="E12" s="19"/>
      <c r="G12" s="22"/>
      <c r="H12" s="23"/>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5"/>
      <c r="AL12" s="28"/>
      <c r="AM12" s="23"/>
      <c r="AN12" s="23"/>
      <c r="AO12" s="23"/>
      <c r="AP12" s="23"/>
      <c r="AQ12" s="23"/>
      <c r="AR12" s="23"/>
      <c r="AS12" s="23"/>
      <c r="AT12" s="23"/>
      <c r="AU12" s="23"/>
      <c r="AV12" s="23"/>
      <c r="AW12" s="23"/>
      <c r="AX12" s="23"/>
      <c r="AY12" s="23"/>
      <c r="AZ12" s="23"/>
      <c r="BA12" s="23"/>
      <c r="BB12" s="23"/>
      <c r="BC12" s="23"/>
      <c r="BD12" s="23"/>
      <c r="BE12" s="23"/>
      <c r="BF12" s="23"/>
      <c r="BG12" s="23"/>
      <c r="BH12" s="23"/>
      <c r="BI12" s="23"/>
      <c r="BJ12" s="23"/>
      <c r="BK12" s="23"/>
      <c r="BL12" s="23"/>
      <c r="BM12" s="25"/>
      <c r="BN12" s="35"/>
      <c r="BO12" s="36"/>
      <c r="BP12" s="36"/>
      <c r="BQ12" s="36"/>
      <c r="BR12" s="36"/>
      <c r="BS12" s="36"/>
      <c r="BT12" s="36"/>
      <c r="BU12" s="36"/>
      <c r="BV12" s="36"/>
      <c r="BW12" s="36"/>
      <c r="BX12" s="36"/>
      <c r="BY12" s="36"/>
      <c r="BZ12" s="36"/>
      <c r="CA12" s="36"/>
      <c r="CB12" s="36"/>
      <c r="CC12" s="36"/>
      <c r="CD12" s="36"/>
      <c r="CE12" s="36"/>
      <c r="CF12" s="36"/>
      <c r="CG12" s="36"/>
      <c r="CH12" s="36"/>
      <c r="CI12" s="36"/>
      <c r="CJ12" s="36"/>
      <c r="CK12" s="36"/>
      <c r="CL12" s="36"/>
      <c r="CM12" s="36"/>
      <c r="CN12" s="36"/>
      <c r="CO12" s="36"/>
      <c r="CP12" s="36"/>
      <c r="CQ12" s="36"/>
      <c r="CR12" s="40"/>
      <c r="CS12" s="44"/>
      <c r="CT12" s="36"/>
      <c r="CU12" s="36"/>
      <c r="CV12" s="36"/>
      <c r="CW12" s="36"/>
      <c r="CX12" s="36"/>
      <c r="CY12" s="36"/>
      <c r="CZ12" s="36"/>
      <c r="DA12" s="36"/>
      <c r="DB12" s="36"/>
      <c r="DC12" s="36"/>
      <c r="DD12" s="36"/>
      <c r="DE12" s="36"/>
      <c r="DF12" s="36"/>
      <c r="DG12" s="36"/>
      <c r="DH12" s="36"/>
      <c r="DI12" s="36"/>
      <c r="DJ12" s="36"/>
      <c r="DK12" s="36"/>
      <c r="DL12" s="36"/>
      <c r="DM12" s="36"/>
      <c r="DN12" s="36"/>
      <c r="DO12" s="36"/>
      <c r="DP12" s="36"/>
      <c r="DQ12" s="36"/>
      <c r="DR12" s="36"/>
      <c r="DS12" s="36"/>
      <c r="DT12" s="36"/>
      <c r="DU12" s="36"/>
      <c r="DV12" s="40"/>
      <c r="DW12" s="52"/>
      <c r="DX12" s="36"/>
      <c r="DY12" s="36"/>
      <c r="DZ12" s="36"/>
      <c r="EA12" s="36"/>
      <c r="EB12" s="36"/>
      <c r="EC12" s="36"/>
      <c r="ED12" s="36"/>
      <c r="EE12" s="36"/>
      <c r="EF12" s="36"/>
      <c r="EG12" s="36"/>
      <c r="EH12" s="36"/>
      <c r="EI12" s="36"/>
      <c r="EJ12" s="36"/>
      <c r="EK12" s="36"/>
      <c r="EL12" s="36"/>
      <c r="EM12" s="36"/>
      <c r="EN12" s="36"/>
      <c r="EO12" s="36"/>
      <c r="EP12" s="36"/>
      <c r="EQ12" s="36"/>
      <c r="ER12" s="36"/>
      <c r="ES12" s="36"/>
      <c r="ET12" s="36"/>
      <c r="EU12" s="36"/>
      <c r="EV12" s="36"/>
      <c r="EW12" s="36"/>
      <c r="EX12" s="36"/>
      <c r="EY12" s="36"/>
      <c r="EZ12" s="36"/>
      <c r="FA12" s="53"/>
    </row>
    <row r="13" spans="1:372" x14ac:dyDescent="0.2">
      <c r="A13" s="18"/>
      <c r="B13" s="18"/>
      <c r="C13" s="19"/>
      <c r="D13" s="59"/>
      <c r="E13" s="19"/>
      <c r="G13" s="22"/>
      <c r="H13" s="23"/>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5"/>
      <c r="AL13" s="28"/>
      <c r="AM13" s="23"/>
      <c r="AN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5"/>
      <c r="BN13" s="35"/>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40"/>
      <c r="CS13" s="44"/>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c r="DV13" s="40"/>
      <c r="DW13" s="52"/>
      <c r="DX13" s="36"/>
      <c r="DY13" s="36"/>
      <c r="DZ13" s="36"/>
      <c r="EA13" s="36"/>
      <c r="EB13" s="36"/>
      <c r="EC13" s="36"/>
      <c r="ED13" s="36"/>
      <c r="EE13" s="36"/>
      <c r="EF13" s="36"/>
      <c r="EG13" s="36"/>
      <c r="EH13" s="36"/>
      <c r="EI13" s="36"/>
      <c r="EJ13" s="36"/>
      <c r="EK13" s="36"/>
      <c r="EL13" s="36"/>
      <c r="EM13" s="36"/>
      <c r="EN13" s="36"/>
      <c r="EO13" s="36"/>
      <c r="EP13" s="36"/>
      <c r="EQ13" s="36"/>
      <c r="ER13" s="36"/>
      <c r="ES13" s="36"/>
      <c r="ET13" s="36"/>
      <c r="EU13" s="36"/>
      <c r="EV13" s="36"/>
      <c r="EW13" s="36"/>
      <c r="EX13" s="36"/>
      <c r="EY13" s="36"/>
      <c r="EZ13" s="36"/>
      <c r="FA13" s="53"/>
    </row>
    <row r="14" spans="1:372" x14ac:dyDescent="0.2">
      <c r="A14" s="18"/>
      <c r="B14" s="18"/>
      <c r="C14" s="19"/>
      <c r="D14" s="59"/>
      <c r="E14" s="19"/>
      <c r="G14" s="22"/>
      <c r="H14" s="23"/>
      <c r="I14" s="23"/>
      <c r="J14" s="23"/>
      <c r="K14" s="23"/>
      <c r="L14" s="23"/>
      <c r="M14" s="23"/>
      <c r="N14" s="23"/>
      <c r="O14" s="23"/>
      <c r="P14" s="23"/>
      <c r="Q14" s="23"/>
      <c r="R14" s="23"/>
      <c r="S14" s="23"/>
      <c r="T14" s="23"/>
      <c r="U14" s="23"/>
      <c r="V14" s="23"/>
      <c r="W14" s="23"/>
      <c r="X14" s="23"/>
      <c r="Y14" s="23"/>
      <c r="Z14" s="23"/>
      <c r="AA14" s="23"/>
      <c r="AB14" s="23"/>
      <c r="AC14" s="23"/>
      <c r="AD14" s="23"/>
      <c r="AE14" s="23"/>
      <c r="AF14" s="23"/>
      <c r="AG14" s="23"/>
      <c r="AH14" s="23"/>
      <c r="AI14" s="23"/>
      <c r="AJ14" s="23"/>
      <c r="AK14" s="25"/>
      <c r="AL14" s="28"/>
      <c r="AM14" s="23"/>
      <c r="AN14" s="23"/>
      <c r="AO14" s="23"/>
      <c r="AP14" s="23"/>
      <c r="AQ14" s="23"/>
      <c r="AR14" s="23"/>
      <c r="AS14" s="23"/>
      <c r="AT14" s="23"/>
      <c r="AU14" s="23"/>
      <c r="AV14" s="23"/>
      <c r="AW14" s="23"/>
      <c r="AX14" s="23"/>
      <c r="AY14" s="23"/>
      <c r="AZ14" s="23"/>
      <c r="BA14" s="23"/>
      <c r="BB14" s="23"/>
      <c r="BC14" s="23"/>
      <c r="BD14" s="23"/>
      <c r="BE14" s="23"/>
      <c r="BF14" s="23"/>
      <c r="BG14" s="23"/>
      <c r="BH14" s="23"/>
      <c r="BI14" s="23"/>
      <c r="BJ14" s="23"/>
      <c r="BK14" s="23"/>
      <c r="BL14" s="23"/>
      <c r="BM14" s="25"/>
      <c r="BN14" s="35"/>
      <c r="BO14" s="36"/>
      <c r="BP14" s="36"/>
      <c r="BQ14" s="36"/>
      <c r="BR14" s="36"/>
      <c r="BS14" s="36"/>
      <c r="BT14" s="36"/>
      <c r="BU14" s="36"/>
      <c r="BV14" s="36"/>
      <c r="BW14" s="36"/>
      <c r="BX14" s="36"/>
      <c r="BY14" s="36"/>
      <c r="BZ14" s="36"/>
      <c r="CA14" s="36"/>
      <c r="CB14" s="36"/>
      <c r="CC14" s="36"/>
      <c r="CD14" s="36"/>
      <c r="CE14" s="36"/>
      <c r="CF14" s="36"/>
      <c r="CG14" s="36"/>
      <c r="CH14" s="36"/>
      <c r="CI14" s="36"/>
      <c r="CJ14" s="36"/>
      <c r="CK14" s="36"/>
      <c r="CL14" s="36"/>
      <c r="CM14" s="36"/>
      <c r="CN14" s="36"/>
      <c r="CO14" s="36"/>
      <c r="CP14" s="36"/>
      <c r="CQ14" s="36"/>
      <c r="CR14" s="40"/>
      <c r="CS14" s="44"/>
      <c r="CT14" s="36"/>
      <c r="CU14" s="36"/>
      <c r="CV14" s="36"/>
      <c r="CW14" s="36"/>
      <c r="CX14" s="36"/>
      <c r="CY14" s="36"/>
      <c r="CZ14" s="36"/>
      <c r="DA14" s="36"/>
      <c r="DB14" s="36"/>
      <c r="DC14" s="36"/>
      <c r="DD14" s="36"/>
      <c r="DE14" s="36"/>
      <c r="DF14" s="36"/>
      <c r="DG14" s="36"/>
      <c r="DH14" s="36"/>
      <c r="DI14" s="36"/>
      <c r="DJ14" s="36"/>
      <c r="DK14" s="36"/>
      <c r="DL14" s="36"/>
      <c r="DM14" s="36"/>
      <c r="DN14" s="36"/>
      <c r="DO14" s="36"/>
      <c r="DP14" s="36"/>
      <c r="DQ14" s="36"/>
      <c r="DR14" s="36"/>
      <c r="DS14" s="36"/>
      <c r="DT14" s="36"/>
      <c r="DU14" s="36"/>
      <c r="DV14" s="40"/>
      <c r="DW14" s="52"/>
      <c r="DX14" s="36"/>
      <c r="DY14" s="36"/>
      <c r="DZ14" s="36"/>
      <c r="EA14" s="36"/>
      <c r="EB14" s="36"/>
      <c r="EC14" s="36"/>
      <c r="ED14" s="36"/>
      <c r="EE14" s="36"/>
      <c r="EF14" s="36"/>
      <c r="EG14" s="36"/>
      <c r="EH14" s="36"/>
      <c r="EI14" s="36"/>
      <c r="EJ14" s="36"/>
      <c r="EK14" s="36"/>
      <c r="EL14" s="36"/>
      <c r="EM14" s="36"/>
      <c r="EN14" s="36"/>
      <c r="EO14" s="36"/>
      <c r="EP14" s="36"/>
      <c r="EQ14" s="36"/>
      <c r="ER14" s="36"/>
      <c r="ES14" s="36"/>
      <c r="ET14" s="36"/>
      <c r="EU14" s="36"/>
      <c r="EV14" s="36"/>
      <c r="EW14" s="36"/>
      <c r="EX14" s="36"/>
      <c r="EY14" s="36"/>
      <c r="EZ14" s="36"/>
      <c r="FA14" s="53"/>
    </row>
    <row r="15" spans="1:372" x14ac:dyDescent="0.2">
      <c r="A15" s="18"/>
      <c r="B15" s="18"/>
      <c r="C15" s="19"/>
      <c r="D15" s="59"/>
      <c r="E15" s="19"/>
      <c r="G15" s="22"/>
      <c r="H15" s="23"/>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5"/>
      <c r="AL15" s="28"/>
      <c r="AM15" s="23"/>
      <c r="AN15" s="23"/>
      <c r="AO15" s="23"/>
      <c r="AP15" s="23"/>
      <c r="AQ15" s="23"/>
      <c r="AR15" s="23"/>
      <c r="AS15" s="23"/>
      <c r="AT15" s="23"/>
      <c r="AU15" s="23"/>
      <c r="AV15" s="23"/>
      <c r="AW15" s="23"/>
      <c r="AX15" s="23"/>
      <c r="AY15" s="23"/>
      <c r="AZ15" s="23"/>
      <c r="BA15" s="23"/>
      <c r="BB15" s="23"/>
      <c r="BC15" s="23"/>
      <c r="BD15" s="23"/>
      <c r="BE15" s="23"/>
      <c r="BF15" s="23"/>
      <c r="BG15" s="23"/>
      <c r="BH15" s="23"/>
      <c r="BI15" s="23"/>
      <c r="BJ15" s="23"/>
      <c r="BK15" s="23"/>
      <c r="BL15" s="23"/>
      <c r="BM15" s="25"/>
      <c r="BN15" s="35"/>
      <c r="BO15" s="36"/>
      <c r="BP15" s="36"/>
      <c r="BQ15" s="36"/>
      <c r="BR15" s="36"/>
      <c r="BS15" s="36"/>
      <c r="BT15" s="36"/>
      <c r="BU15" s="36"/>
      <c r="BV15" s="36"/>
      <c r="BW15" s="36"/>
      <c r="BX15" s="36"/>
      <c r="BY15" s="36"/>
      <c r="BZ15" s="36"/>
      <c r="CA15" s="36"/>
      <c r="CB15" s="36"/>
      <c r="CC15" s="36"/>
      <c r="CD15" s="36"/>
      <c r="CE15" s="36"/>
      <c r="CF15" s="36"/>
      <c r="CG15" s="36"/>
      <c r="CH15" s="36"/>
      <c r="CI15" s="36"/>
      <c r="CJ15" s="36"/>
      <c r="CK15" s="36"/>
      <c r="CL15" s="36"/>
      <c r="CM15" s="36"/>
      <c r="CN15" s="36"/>
      <c r="CO15" s="36"/>
      <c r="CP15" s="36"/>
      <c r="CQ15" s="36"/>
      <c r="CR15" s="40"/>
      <c r="CS15" s="44"/>
      <c r="CT15" s="36"/>
      <c r="CU15" s="36"/>
      <c r="CV15" s="36"/>
      <c r="CW15" s="36"/>
      <c r="CX15" s="36"/>
      <c r="CY15" s="36"/>
      <c r="CZ15" s="36"/>
      <c r="DA15" s="36"/>
      <c r="DB15" s="36"/>
      <c r="DC15" s="36"/>
      <c r="DD15" s="36"/>
      <c r="DE15" s="36"/>
      <c r="DF15" s="36"/>
      <c r="DG15" s="36"/>
      <c r="DH15" s="36"/>
      <c r="DI15" s="36"/>
      <c r="DJ15" s="36"/>
      <c r="DK15" s="36"/>
      <c r="DL15" s="36"/>
      <c r="DM15" s="36"/>
      <c r="DN15" s="36"/>
      <c r="DO15" s="36"/>
      <c r="DP15" s="36"/>
      <c r="DQ15" s="36"/>
      <c r="DR15" s="36"/>
      <c r="DS15" s="36"/>
      <c r="DT15" s="36"/>
      <c r="DU15" s="36"/>
      <c r="DV15" s="40"/>
      <c r="DW15" s="52"/>
      <c r="DX15" s="36"/>
      <c r="DY15" s="36"/>
      <c r="DZ15" s="36"/>
      <c r="EA15" s="36"/>
      <c r="EB15" s="36"/>
      <c r="EC15" s="36"/>
      <c r="ED15" s="36"/>
      <c r="EE15" s="36"/>
      <c r="EF15" s="36"/>
      <c r="EG15" s="36"/>
      <c r="EH15" s="36"/>
      <c r="EI15" s="36"/>
      <c r="EJ15" s="36"/>
      <c r="EK15" s="36"/>
      <c r="EL15" s="36"/>
      <c r="EM15" s="36"/>
      <c r="EN15" s="36"/>
      <c r="EO15" s="36"/>
      <c r="EP15" s="36"/>
      <c r="EQ15" s="36"/>
      <c r="ER15" s="36"/>
      <c r="ES15" s="36"/>
      <c r="ET15" s="36"/>
      <c r="EU15" s="36"/>
      <c r="EV15" s="36"/>
      <c r="EW15" s="36"/>
      <c r="EX15" s="36"/>
      <c r="EY15" s="36"/>
      <c r="EZ15" s="36"/>
      <c r="FA15" s="53"/>
    </row>
    <row r="16" spans="1:372" x14ac:dyDescent="0.2">
      <c r="A16" s="18"/>
      <c r="B16" s="18"/>
      <c r="C16" s="19"/>
      <c r="D16" s="59"/>
      <c r="E16" s="19"/>
      <c r="G16" s="22"/>
      <c r="H16" s="23"/>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5"/>
      <c r="AL16" s="28"/>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5"/>
      <c r="BN16" s="35"/>
      <c r="BO16" s="36"/>
      <c r="BP16" s="36"/>
      <c r="BQ16" s="36"/>
      <c r="BR16" s="36"/>
      <c r="BS16" s="36"/>
      <c r="BT16" s="36"/>
      <c r="BU16" s="36"/>
      <c r="BV16" s="36"/>
      <c r="BW16" s="36"/>
      <c r="BX16" s="36"/>
      <c r="BY16" s="36"/>
      <c r="BZ16" s="36"/>
      <c r="CA16" s="36"/>
      <c r="CB16" s="36"/>
      <c r="CC16" s="36"/>
      <c r="CD16" s="36"/>
      <c r="CE16" s="36"/>
      <c r="CF16" s="36"/>
      <c r="CG16" s="36"/>
      <c r="CH16" s="36"/>
      <c r="CI16" s="36"/>
      <c r="CJ16" s="36"/>
      <c r="CK16" s="36"/>
      <c r="CL16" s="36"/>
      <c r="CM16" s="36"/>
      <c r="CN16" s="36"/>
      <c r="CO16" s="36"/>
      <c r="CP16" s="36"/>
      <c r="CQ16" s="36"/>
      <c r="CR16" s="40"/>
      <c r="CS16" s="44"/>
      <c r="CT16" s="36"/>
      <c r="CU16" s="36"/>
      <c r="CV16" s="36"/>
      <c r="CW16" s="36"/>
      <c r="CX16" s="36"/>
      <c r="CY16" s="36"/>
      <c r="CZ16" s="36"/>
      <c r="DA16" s="36"/>
      <c r="DB16" s="36"/>
      <c r="DC16" s="36"/>
      <c r="DD16" s="36"/>
      <c r="DE16" s="36"/>
      <c r="DF16" s="36"/>
      <c r="DG16" s="36"/>
      <c r="DH16" s="36"/>
      <c r="DI16" s="36"/>
      <c r="DJ16" s="36"/>
      <c r="DK16" s="36"/>
      <c r="DL16" s="36"/>
      <c r="DM16" s="36"/>
      <c r="DN16" s="36"/>
      <c r="DO16" s="36"/>
      <c r="DP16" s="36"/>
      <c r="DQ16" s="36"/>
      <c r="DR16" s="36"/>
      <c r="DS16" s="36"/>
      <c r="DT16" s="36"/>
      <c r="DU16" s="36"/>
      <c r="DV16" s="40"/>
      <c r="DW16" s="52"/>
      <c r="DX16" s="36"/>
      <c r="DY16" s="36"/>
      <c r="DZ16" s="36"/>
      <c r="EA16" s="36"/>
      <c r="EB16" s="36"/>
      <c r="EC16" s="36"/>
      <c r="ED16" s="36"/>
      <c r="EE16" s="36"/>
      <c r="EF16" s="36"/>
      <c r="EG16" s="36"/>
      <c r="EH16" s="36"/>
      <c r="EI16" s="36"/>
      <c r="EJ16" s="36"/>
      <c r="EK16" s="36"/>
      <c r="EL16" s="36"/>
      <c r="EM16" s="36"/>
      <c r="EN16" s="36"/>
      <c r="EO16" s="36"/>
      <c r="EP16" s="36"/>
      <c r="EQ16" s="36"/>
      <c r="ER16" s="36"/>
      <c r="ES16" s="36"/>
      <c r="ET16" s="36"/>
      <c r="EU16" s="36"/>
      <c r="EV16" s="36"/>
      <c r="EW16" s="36"/>
      <c r="EX16" s="36"/>
      <c r="EY16" s="36"/>
      <c r="EZ16" s="36"/>
      <c r="FA16" s="53"/>
    </row>
    <row r="17" spans="1:157" x14ac:dyDescent="0.2">
      <c r="A17" s="18"/>
      <c r="B17" s="18"/>
      <c r="C17" s="18"/>
      <c r="D17" s="59"/>
      <c r="E17" s="19"/>
      <c r="G17" s="22"/>
      <c r="H17" s="23"/>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5"/>
      <c r="AL17" s="28"/>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5"/>
      <c r="BN17" s="35"/>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40"/>
      <c r="CS17" s="44"/>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c r="DV17" s="40"/>
      <c r="DW17" s="52"/>
      <c r="DX17" s="36"/>
      <c r="DY17" s="36"/>
      <c r="DZ17" s="36"/>
      <c r="EA17" s="36"/>
      <c r="EB17" s="36"/>
      <c r="EC17" s="36"/>
      <c r="ED17" s="36"/>
      <c r="EE17" s="36"/>
      <c r="EF17" s="36"/>
      <c r="EG17" s="36"/>
      <c r="EH17" s="36"/>
      <c r="EI17" s="36"/>
      <c r="EJ17" s="36"/>
      <c r="EK17" s="36"/>
      <c r="EL17" s="36"/>
      <c r="EM17" s="36"/>
      <c r="EN17" s="36"/>
      <c r="EO17" s="36"/>
      <c r="EP17" s="36"/>
      <c r="EQ17" s="36"/>
      <c r="ER17" s="36"/>
      <c r="ES17" s="36"/>
      <c r="ET17" s="36"/>
      <c r="EU17" s="36"/>
      <c r="EV17" s="36"/>
      <c r="EW17" s="36"/>
      <c r="EX17" s="36"/>
      <c r="EY17" s="36"/>
      <c r="EZ17" s="36"/>
      <c r="FA17" s="53"/>
    </row>
    <row r="18" spans="1:157" x14ac:dyDescent="0.2">
      <c r="A18" s="18"/>
      <c r="B18" s="18"/>
      <c r="C18" s="19"/>
      <c r="D18" s="59"/>
      <c r="E18" s="19"/>
      <c r="G18" s="22"/>
      <c r="H18" s="23"/>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5"/>
      <c r="AL18" s="28"/>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5"/>
      <c r="BN18" s="35"/>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40"/>
      <c r="CS18" s="44"/>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c r="DV18" s="40"/>
      <c r="DW18" s="52"/>
      <c r="DX18" s="36"/>
      <c r="DY18" s="36"/>
      <c r="DZ18" s="36"/>
      <c r="EA18" s="36"/>
      <c r="EB18" s="36"/>
      <c r="EC18" s="36"/>
      <c r="ED18" s="36"/>
      <c r="EE18" s="36"/>
      <c r="EF18" s="36"/>
      <c r="EG18" s="36"/>
      <c r="EH18" s="36"/>
      <c r="EI18" s="36"/>
      <c r="EJ18" s="36"/>
      <c r="EK18" s="36"/>
      <c r="EL18" s="36"/>
      <c r="EM18" s="36"/>
      <c r="EN18" s="36"/>
      <c r="EO18" s="36"/>
      <c r="EP18" s="36"/>
      <c r="EQ18" s="36"/>
      <c r="ER18" s="36"/>
      <c r="ES18" s="36"/>
      <c r="ET18" s="36"/>
      <c r="EU18" s="36"/>
      <c r="EV18" s="36"/>
      <c r="EW18" s="36"/>
      <c r="EX18" s="36"/>
      <c r="EY18" s="36"/>
      <c r="EZ18" s="36"/>
      <c r="FA18" s="53"/>
    </row>
    <row r="19" spans="1:157" x14ac:dyDescent="0.2">
      <c r="A19" s="18"/>
      <c r="B19" s="18"/>
      <c r="C19" s="19"/>
      <c r="D19" s="59"/>
      <c r="E19" s="19"/>
      <c r="G19" s="22"/>
      <c r="H19" s="23"/>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5"/>
      <c r="AL19" s="28"/>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5"/>
      <c r="BN19" s="35"/>
      <c r="BO19" s="36"/>
      <c r="BP19" s="36"/>
      <c r="BQ19" s="36"/>
      <c r="BR19" s="36"/>
      <c r="BS19" s="36"/>
      <c r="BT19" s="36"/>
      <c r="BU19" s="36"/>
      <c r="BV19" s="36"/>
      <c r="BW19" s="36"/>
      <c r="BX19" s="36"/>
      <c r="BY19" s="36"/>
      <c r="BZ19" s="36"/>
      <c r="CA19" s="36"/>
      <c r="CB19" s="36"/>
      <c r="CC19" s="36"/>
      <c r="CD19" s="36"/>
      <c r="CE19" s="36"/>
      <c r="CF19" s="36"/>
      <c r="CG19" s="36"/>
      <c r="CH19" s="36"/>
      <c r="CI19" s="36"/>
      <c r="CJ19" s="36"/>
      <c r="CK19" s="36"/>
      <c r="CL19" s="36"/>
      <c r="CM19" s="36"/>
      <c r="CN19" s="36"/>
      <c r="CO19" s="36"/>
      <c r="CP19" s="36"/>
      <c r="CQ19" s="36"/>
      <c r="CR19" s="40"/>
      <c r="CS19" s="44"/>
      <c r="CT19" s="36"/>
      <c r="CU19" s="36"/>
      <c r="CV19" s="36"/>
      <c r="CW19" s="36"/>
      <c r="CX19" s="36"/>
      <c r="CY19" s="36"/>
      <c r="CZ19" s="36"/>
      <c r="DA19" s="36"/>
      <c r="DB19" s="36"/>
      <c r="DC19" s="36"/>
      <c r="DD19" s="36"/>
      <c r="DE19" s="36"/>
      <c r="DF19" s="36"/>
      <c r="DG19" s="36"/>
      <c r="DH19" s="36"/>
      <c r="DI19" s="36"/>
      <c r="DJ19" s="36"/>
      <c r="DK19" s="36"/>
      <c r="DL19" s="36"/>
      <c r="DM19" s="36"/>
      <c r="DN19" s="36"/>
      <c r="DO19" s="36"/>
      <c r="DP19" s="36"/>
      <c r="DQ19" s="36"/>
      <c r="DR19" s="36"/>
      <c r="DS19" s="36"/>
      <c r="DT19" s="36"/>
      <c r="DU19" s="36"/>
      <c r="DV19" s="40"/>
      <c r="DW19" s="52"/>
      <c r="DX19" s="36"/>
      <c r="DY19" s="36"/>
      <c r="DZ19" s="36"/>
      <c r="EA19" s="36"/>
      <c r="EB19" s="36"/>
      <c r="EC19" s="36"/>
      <c r="ED19" s="36"/>
      <c r="EE19" s="36"/>
      <c r="EF19" s="36"/>
      <c r="EG19" s="36"/>
      <c r="EH19" s="36"/>
      <c r="EI19" s="36"/>
      <c r="EJ19" s="36"/>
      <c r="EK19" s="36"/>
      <c r="EL19" s="36"/>
      <c r="EM19" s="36"/>
      <c r="EN19" s="36"/>
      <c r="EO19" s="36"/>
      <c r="EP19" s="36"/>
      <c r="EQ19" s="36"/>
      <c r="ER19" s="36"/>
      <c r="ES19" s="36"/>
      <c r="ET19" s="36"/>
      <c r="EU19" s="36"/>
      <c r="EV19" s="36"/>
      <c r="EW19" s="36"/>
      <c r="EX19" s="36"/>
      <c r="EY19" s="36"/>
      <c r="EZ19" s="36"/>
      <c r="FA19" s="53"/>
    </row>
    <row r="20" spans="1:157" x14ac:dyDescent="0.2">
      <c r="A20" s="18"/>
      <c r="B20" s="18"/>
      <c r="C20" s="19"/>
      <c r="D20" s="59"/>
      <c r="E20" s="19"/>
      <c r="G20" s="22"/>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5"/>
      <c r="AL20" s="28"/>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5"/>
      <c r="BN20" s="35"/>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40"/>
      <c r="CS20" s="44"/>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c r="DV20" s="40"/>
      <c r="DW20" s="52"/>
      <c r="DX20" s="36"/>
      <c r="DY20" s="36"/>
      <c r="DZ20" s="36"/>
      <c r="EA20" s="36"/>
      <c r="EB20" s="36"/>
      <c r="EC20" s="36"/>
      <c r="ED20" s="36"/>
      <c r="EE20" s="36"/>
      <c r="EF20" s="36"/>
      <c r="EG20" s="36"/>
      <c r="EH20" s="36"/>
      <c r="EI20" s="36"/>
      <c r="EJ20" s="36"/>
      <c r="EK20" s="36"/>
      <c r="EL20" s="36"/>
      <c r="EM20" s="36"/>
      <c r="EN20" s="36"/>
      <c r="EO20" s="36"/>
      <c r="EP20" s="36"/>
      <c r="EQ20" s="36"/>
      <c r="ER20" s="36"/>
      <c r="ES20" s="36"/>
      <c r="ET20" s="36"/>
      <c r="EU20" s="36"/>
      <c r="EV20" s="36"/>
      <c r="EW20" s="36"/>
      <c r="EX20" s="36"/>
      <c r="EY20" s="36"/>
      <c r="EZ20" s="36"/>
      <c r="FA20" s="53"/>
    </row>
    <row r="21" spans="1:157" x14ac:dyDescent="0.2">
      <c r="A21" s="18"/>
      <c r="B21" s="18"/>
      <c r="C21" s="19"/>
      <c r="D21" s="59"/>
      <c r="E21" s="19"/>
      <c r="G21" s="22"/>
      <c r="H21" s="23"/>
      <c r="I21" s="23"/>
      <c r="J21" s="23"/>
      <c r="K21" s="23"/>
      <c r="L21" s="23"/>
      <c r="M21" s="23"/>
      <c r="N21" s="23"/>
      <c r="O21" s="23"/>
      <c r="P21" s="23"/>
      <c r="Q21" s="23"/>
      <c r="R21" s="23"/>
      <c r="S21" s="23"/>
      <c r="T21" s="23"/>
      <c r="U21" s="23"/>
      <c r="V21" s="23"/>
      <c r="W21" s="23"/>
      <c r="X21" s="23"/>
      <c r="Y21" s="23"/>
      <c r="Z21" s="23"/>
      <c r="AA21" s="23"/>
      <c r="AB21" s="23"/>
      <c r="AC21" s="23"/>
      <c r="AD21" s="23"/>
      <c r="AE21" s="23"/>
      <c r="AF21" s="23"/>
      <c r="AG21" s="23"/>
      <c r="AH21" s="23"/>
      <c r="AI21" s="23"/>
      <c r="AJ21" s="23"/>
      <c r="AK21" s="25"/>
      <c r="AL21" s="28"/>
      <c r="AM21" s="23"/>
      <c r="AN21" s="23"/>
      <c r="AO21" s="23"/>
      <c r="AP21" s="23"/>
      <c r="AQ21" s="23"/>
      <c r="AR21" s="23"/>
      <c r="AS21" s="23"/>
      <c r="AT21" s="23"/>
      <c r="AU21" s="23"/>
      <c r="AV21" s="23"/>
      <c r="AW21" s="23"/>
      <c r="AX21" s="23"/>
      <c r="AY21" s="23"/>
      <c r="AZ21" s="23"/>
      <c r="BA21" s="23"/>
      <c r="BB21" s="23"/>
      <c r="BC21" s="23"/>
      <c r="BD21" s="23"/>
      <c r="BE21" s="23"/>
      <c r="BF21" s="23"/>
      <c r="BG21" s="23"/>
      <c r="BH21" s="23"/>
      <c r="BI21" s="23"/>
      <c r="BJ21" s="23"/>
      <c r="BK21" s="23"/>
      <c r="BL21" s="23"/>
      <c r="BM21" s="25"/>
      <c r="BN21" s="35"/>
      <c r="BO21" s="36"/>
      <c r="BP21" s="36"/>
      <c r="BQ21" s="36"/>
      <c r="BR21" s="36"/>
      <c r="BS21" s="36"/>
      <c r="BT21" s="36"/>
      <c r="BU21" s="36"/>
      <c r="BV21" s="36"/>
      <c r="BW21" s="36"/>
      <c r="BX21" s="36"/>
      <c r="BY21" s="36"/>
      <c r="BZ21" s="36"/>
      <c r="CA21" s="36"/>
      <c r="CB21" s="36"/>
      <c r="CC21" s="36"/>
      <c r="CD21" s="36"/>
      <c r="CE21" s="36"/>
      <c r="CF21" s="36"/>
      <c r="CG21" s="36"/>
      <c r="CH21" s="36"/>
      <c r="CI21" s="36"/>
      <c r="CJ21" s="36"/>
      <c r="CK21" s="36"/>
      <c r="CL21" s="36"/>
      <c r="CM21" s="36"/>
      <c r="CN21" s="36"/>
      <c r="CO21" s="36"/>
      <c r="CP21" s="36"/>
      <c r="CQ21" s="36"/>
      <c r="CR21" s="40"/>
      <c r="CS21" s="44"/>
      <c r="CT21" s="36"/>
      <c r="CU21" s="36"/>
      <c r="CV21" s="36"/>
      <c r="CW21" s="36"/>
      <c r="CX21" s="36"/>
      <c r="CY21" s="36"/>
      <c r="CZ21" s="36"/>
      <c r="DA21" s="36"/>
      <c r="DB21" s="36"/>
      <c r="DC21" s="36"/>
      <c r="DD21" s="36"/>
      <c r="DE21" s="36"/>
      <c r="DF21" s="36"/>
      <c r="DG21" s="36"/>
      <c r="DH21" s="36"/>
      <c r="DI21" s="36"/>
      <c r="DJ21" s="36"/>
      <c r="DK21" s="36"/>
      <c r="DL21" s="36"/>
      <c r="DM21" s="36"/>
      <c r="DN21" s="36"/>
      <c r="DO21" s="36"/>
      <c r="DP21" s="36"/>
      <c r="DQ21" s="36"/>
      <c r="DR21" s="36"/>
      <c r="DS21" s="36"/>
      <c r="DT21" s="36"/>
      <c r="DU21" s="36"/>
      <c r="DV21" s="40"/>
      <c r="DW21" s="52"/>
      <c r="DX21" s="36"/>
      <c r="DY21" s="36"/>
      <c r="DZ21" s="36"/>
      <c r="EA21" s="36"/>
      <c r="EB21" s="36"/>
      <c r="EC21" s="36"/>
      <c r="ED21" s="36"/>
      <c r="EE21" s="36"/>
      <c r="EF21" s="36"/>
      <c r="EG21" s="36"/>
      <c r="EH21" s="36"/>
      <c r="EI21" s="36"/>
      <c r="EJ21" s="36"/>
      <c r="EK21" s="36"/>
      <c r="EL21" s="36"/>
      <c r="EM21" s="36"/>
      <c r="EN21" s="36"/>
      <c r="EO21" s="36"/>
      <c r="EP21" s="36"/>
      <c r="EQ21" s="36"/>
      <c r="ER21" s="36"/>
      <c r="ES21" s="36"/>
      <c r="ET21" s="36"/>
      <c r="EU21" s="36"/>
      <c r="EV21" s="36"/>
      <c r="EW21" s="36"/>
      <c r="EX21" s="36"/>
      <c r="EY21" s="36"/>
      <c r="EZ21" s="36"/>
      <c r="FA21" s="53"/>
    </row>
    <row r="22" spans="1:157" x14ac:dyDescent="0.2">
      <c r="A22" s="18"/>
      <c r="B22" s="18"/>
      <c r="C22" s="19"/>
      <c r="D22" s="59"/>
      <c r="E22" s="19"/>
      <c r="G22" s="22"/>
      <c r="H22" s="23"/>
      <c r="I22" s="23"/>
      <c r="J22" s="23"/>
      <c r="K22" s="23"/>
      <c r="L22" s="23"/>
      <c r="M22" s="23"/>
      <c r="N22" s="23"/>
      <c r="O22" s="23"/>
      <c r="P22" s="23"/>
      <c r="Q22" s="23"/>
      <c r="R22" s="23"/>
      <c r="S22" s="23"/>
      <c r="T22" s="23"/>
      <c r="U22" s="23"/>
      <c r="V22" s="23"/>
      <c r="W22" s="23"/>
      <c r="X22" s="23"/>
      <c r="Y22" s="23"/>
      <c r="Z22" s="23"/>
      <c r="AA22" s="23"/>
      <c r="AB22" s="23"/>
      <c r="AC22" s="23"/>
      <c r="AD22" s="23"/>
      <c r="AE22" s="23"/>
      <c r="AF22" s="23"/>
      <c r="AG22" s="23"/>
      <c r="AH22" s="23"/>
      <c r="AI22" s="23"/>
      <c r="AJ22" s="23"/>
      <c r="AK22" s="25"/>
      <c r="AL22" s="28"/>
      <c r="AM22" s="23"/>
      <c r="AN22" s="23"/>
      <c r="AO22" s="23"/>
      <c r="AP22" s="23"/>
      <c r="AQ22" s="23"/>
      <c r="AR22" s="23"/>
      <c r="AS22" s="23"/>
      <c r="AT22" s="23"/>
      <c r="AU22" s="23"/>
      <c r="AV22" s="23"/>
      <c r="AW22" s="23"/>
      <c r="AX22" s="23"/>
      <c r="AY22" s="23"/>
      <c r="AZ22" s="23"/>
      <c r="BA22" s="23"/>
      <c r="BB22" s="23"/>
      <c r="BC22" s="23"/>
      <c r="BD22" s="23"/>
      <c r="BE22" s="23"/>
      <c r="BF22" s="23"/>
      <c r="BG22" s="23"/>
      <c r="BH22" s="23"/>
      <c r="BI22" s="23"/>
      <c r="BJ22" s="23"/>
      <c r="BK22" s="23"/>
      <c r="BL22" s="23"/>
      <c r="BM22" s="25"/>
      <c r="BN22" s="35"/>
      <c r="BO22" s="36"/>
      <c r="BP22" s="36"/>
      <c r="BQ22" s="36"/>
      <c r="BR22" s="36"/>
      <c r="BS22" s="36"/>
      <c r="BT22" s="36"/>
      <c r="BU22" s="36"/>
      <c r="BV22" s="36"/>
      <c r="BW22" s="36"/>
      <c r="BX22" s="36"/>
      <c r="BY22" s="36"/>
      <c r="BZ22" s="36"/>
      <c r="CA22" s="36"/>
      <c r="CB22" s="36"/>
      <c r="CC22" s="36"/>
      <c r="CD22" s="36"/>
      <c r="CE22" s="36"/>
      <c r="CF22" s="36"/>
      <c r="CG22" s="36"/>
      <c r="CH22" s="36"/>
      <c r="CI22" s="36"/>
      <c r="CJ22" s="36"/>
      <c r="CK22" s="36"/>
      <c r="CL22" s="36"/>
      <c r="CM22" s="36"/>
      <c r="CN22" s="36"/>
      <c r="CO22" s="36"/>
      <c r="CP22" s="36"/>
      <c r="CQ22" s="36"/>
      <c r="CR22" s="40"/>
      <c r="CS22" s="44"/>
      <c r="CT22" s="36"/>
      <c r="CU22" s="36"/>
      <c r="CV22" s="36"/>
      <c r="CW22" s="36"/>
      <c r="CX22" s="36"/>
      <c r="CY22" s="36"/>
      <c r="CZ22" s="36"/>
      <c r="DA22" s="36"/>
      <c r="DB22" s="36"/>
      <c r="DC22" s="36"/>
      <c r="DD22" s="36"/>
      <c r="DE22" s="36"/>
      <c r="DF22" s="36"/>
      <c r="DG22" s="36"/>
      <c r="DH22" s="36"/>
      <c r="DI22" s="36"/>
      <c r="DJ22" s="36"/>
      <c r="DK22" s="36"/>
      <c r="DL22" s="36"/>
      <c r="DM22" s="36"/>
      <c r="DN22" s="36"/>
      <c r="DO22" s="36"/>
      <c r="DP22" s="36"/>
      <c r="DQ22" s="36"/>
      <c r="DR22" s="36"/>
      <c r="DS22" s="36"/>
      <c r="DT22" s="36"/>
      <c r="DU22" s="36"/>
      <c r="DV22" s="40"/>
      <c r="DW22" s="52"/>
      <c r="DX22" s="36"/>
      <c r="DY22" s="36"/>
      <c r="DZ22" s="36"/>
      <c r="EA22" s="36"/>
      <c r="EB22" s="36"/>
      <c r="EC22" s="36"/>
      <c r="ED22" s="36"/>
      <c r="EE22" s="36"/>
      <c r="EF22" s="36"/>
      <c r="EG22" s="36"/>
      <c r="EH22" s="36"/>
      <c r="EI22" s="36"/>
      <c r="EJ22" s="36"/>
      <c r="EK22" s="36"/>
      <c r="EL22" s="36"/>
      <c r="EM22" s="36"/>
      <c r="EN22" s="36"/>
      <c r="EO22" s="36"/>
      <c r="EP22" s="36"/>
      <c r="EQ22" s="36"/>
      <c r="ER22" s="36"/>
      <c r="ES22" s="36"/>
      <c r="ET22" s="36"/>
      <c r="EU22" s="36"/>
      <c r="EV22" s="36"/>
      <c r="EW22" s="36"/>
      <c r="EX22" s="36"/>
      <c r="EY22" s="36"/>
      <c r="EZ22" s="36"/>
      <c r="FA22" s="53"/>
    </row>
    <row r="23" spans="1:157" x14ac:dyDescent="0.2">
      <c r="A23" s="18"/>
      <c r="B23" s="18"/>
      <c r="C23" s="19"/>
      <c r="D23" s="59"/>
      <c r="E23" s="19"/>
      <c r="G23" s="22"/>
      <c r="H23" s="23"/>
      <c r="I23" s="23"/>
      <c r="J23" s="23"/>
      <c r="K23" s="23"/>
      <c r="L23" s="23"/>
      <c r="M23" s="23"/>
      <c r="N23" s="23"/>
      <c r="O23" s="23"/>
      <c r="P23" s="23"/>
      <c r="Q23" s="23"/>
      <c r="R23" s="23"/>
      <c r="S23" s="23"/>
      <c r="T23" s="23"/>
      <c r="U23" s="23"/>
      <c r="V23" s="23"/>
      <c r="W23" s="23"/>
      <c r="X23" s="23"/>
      <c r="Y23" s="23"/>
      <c r="Z23" s="23"/>
      <c r="AA23" s="23"/>
      <c r="AB23" s="23"/>
      <c r="AC23" s="23"/>
      <c r="AD23" s="23"/>
      <c r="AE23" s="23"/>
      <c r="AF23" s="23"/>
      <c r="AG23" s="23"/>
      <c r="AH23" s="23"/>
      <c r="AI23" s="23"/>
      <c r="AJ23" s="23"/>
      <c r="AK23" s="25"/>
      <c r="AL23" s="28"/>
      <c r="AM23" s="23"/>
      <c r="AN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5"/>
      <c r="BN23" s="35"/>
      <c r="BO23" s="36"/>
      <c r="BP23" s="36"/>
      <c r="BQ23" s="36"/>
      <c r="BR23" s="36"/>
      <c r="BS23" s="36"/>
      <c r="BT23" s="36"/>
      <c r="BU23" s="36"/>
      <c r="BV23" s="36"/>
      <c r="BW23" s="36"/>
      <c r="BX23" s="36"/>
      <c r="BY23" s="36"/>
      <c r="BZ23" s="36"/>
      <c r="CA23" s="36"/>
      <c r="CB23" s="36"/>
      <c r="CC23" s="36"/>
      <c r="CD23" s="36"/>
      <c r="CE23" s="36"/>
      <c r="CF23" s="36"/>
      <c r="CG23" s="36"/>
      <c r="CH23" s="36"/>
      <c r="CI23" s="36"/>
      <c r="CJ23" s="36"/>
      <c r="CK23" s="36"/>
      <c r="CL23" s="36"/>
      <c r="CM23" s="36"/>
      <c r="CN23" s="36"/>
      <c r="CO23" s="36"/>
      <c r="CP23" s="36"/>
      <c r="CQ23" s="36"/>
      <c r="CR23" s="40"/>
      <c r="CS23" s="44"/>
      <c r="CT23" s="36"/>
      <c r="CU23" s="36"/>
      <c r="CV23" s="36"/>
      <c r="CW23" s="36"/>
      <c r="CX23" s="36"/>
      <c r="CY23" s="36"/>
      <c r="CZ23" s="36"/>
      <c r="DA23" s="36"/>
      <c r="DB23" s="36"/>
      <c r="DC23" s="36"/>
      <c r="DD23" s="36"/>
      <c r="DE23" s="36"/>
      <c r="DF23" s="36"/>
      <c r="DG23" s="36"/>
      <c r="DH23" s="36"/>
      <c r="DI23" s="36"/>
      <c r="DJ23" s="36"/>
      <c r="DK23" s="36"/>
      <c r="DL23" s="36"/>
      <c r="DM23" s="36"/>
      <c r="DN23" s="36"/>
      <c r="DO23" s="36"/>
      <c r="DP23" s="36"/>
      <c r="DQ23" s="36"/>
      <c r="DR23" s="36"/>
      <c r="DS23" s="36"/>
      <c r="DT23" s="36"/>
      <c r="DU23" s="36"/>
      <c r="DV23" s="40"/>
      <c r="DW23" s="52"/>
      <c r="DX23" s="36"/>
      <c r="DY23" s="36"/>
      <c r="DZ23" s="36"/>
      <c r="EA23" s="36"/>
      <c r="EB23" s="36"/>
      <c r="EC23" s="36"/>
      <c r="ED23" s="36"/>
      <c r="EE23" s="36"/>
      <c r="EF23" s="36"/>
      <c r="EG23" s="36"/>
      <c r="EH23" s="36"/>
      <c r="EI23" s="36"/>
      <c r="EJ23" s="36"/>
      <c r="EK23" s="36"/>
      <c r="EL23" s="36"/>
      <c r="EM23" s="36"/>
      <c r="EN23" s="36"/>
      <c r="EO23" s="36"/>
      <c r="EP23" s="36"/>
      <c r="EQ23" s="36"/>
      <c r="ER23" s="36"/>
      <c r="ES23" s="36"/>
      <c r="ET23" s="36"/>
      <c r="EU23" s="36"/>
      <c r="EV23" s="36"/>
      <c r="EW23" s="36"/>
      <c r="EX23" s="36"/>
      <c r="EY23" s="36"/>
      <c r="EZ23" s="36"/>
      <c r="FA23" s="53"/>
    </row>
    <row r="24" spans="1:157" x14ac:dyDescent="0.2">
      <c r="A24" s="18"/>
      <c r="B24" s="18"/>
      <c r="C24" s="19"/>
      <c r="D24" s="59"/>
      <c r="E24" s="19"/>
      <c r="G24" s="22"/>
      <c r="H24" s="23"/>
      <c r="I24" s="23"/>
      <c r="J24" s="23"/>
      <c r="K24" s="23"/>
      <c r="L24" s="23"/>
      <c r="M24" s="23"/>
      <c r="N24" s="23"/>
      <c r="O24" s="23"/>
      <c r="P24" s="23"/>
      <c r="Q24" s="23"/>
      <c r="R24" s="23"/>
      <c r="S24" s="23"/>
      <c r="T24" s="23"/>
      <c r="U24" s="23"/>
      <c r="V24" s="23"/>
      <c r="W24" s="23"/>
      <c r="X24" s="23"/>
      <c r="Y24" s="23"/>
      <c r="Z24" s="23"/>
      <c r="AA24" s="23"/>
      <c r="AB24" s="23"/>
      <c r="AC24" s="23"/>
      <c r="AD24" s="23"/>
      <c r="AE24" s="23"/>
      <c r="AF24" s="23"/>
      <c r="AG24" s="23"/>
      <c r="AH24" s="23"/>
      <c r="AI24" s="23"/>
      <c r="AJ24" s="23"/>
      <c r="AK24" s="25"/>
      <c r="AL24" s="28"/>
      <c r="AM24" s="23"/>
      <c r="AN24" s="23"/>
      <c r="AO24" s="23"/>
      <c r="AP24" s="23"/>
      <c r="AQ24" s="23"/>
      <c r="AR24" s="23"/>
      <c r="AS24" s="23"/>
      <c r="AT24" s="23"/>
      <c r="AU24" s="23"/>
      <c r="AV24" s="23"/>
      <c r="AW24" s="23"/>
      <c r="AX24" s="23"/>
      <c r="AY24" s="23"/>
      <c r="AZ24" s="23"/>
      <c r="BA24" s="23"/>
      <c r="BB24" s="23"/>
      <c r="BC24" s="23"/>
      <c r="BD24" s="23"/>
      <c r="BE24" s="23"/>
      <c r="BF24" s="23"/>
      <c r="BG24" s="23"/>
      <c r="BH24" s="23"/>
      <c r="BI24" s="23"/>
      <c r="BJ24" s="23"/>
      <c r="BK24" s="23"/>
      <c r="BL24" s="23"/>
      <c r="BM24" s="25"/>
      <c r="BN24" s="35"/>
      <c r="BO24" s="36"/>
      <c r="BP24" s="36"/>
      <c r="BQ24" s="36"/>
      <c r="BR24" s="36"/>
      <c r="BS24" s="36"/>
      <c r="BT24" s="36"/>
      <c r="BU24" s="36"/>
      <c r="BV24" s="36"/>
      <c r="BW24" s="36"/>
      <c r="BX24" s="36"/>
      <c r="BY24" s="36"/>
      <c r="BZ24" s="36"/>
      <c r="CA24" s="36"/>
      <c r="CB24" s="36"/>
      <c r="CC24" s="36"/>
      <c r="CD24" s="36"/>
      <c r="CE24" s="36"/>
      <c r="CF24" s="36"/>
      <c r="CG24" s="36"/>
      <c r="CH24" s="36"/>
      <c r="CI24" s="36"/>
      <c r="CJ24" s="36"/>
      <c r="CK24" s="36"/>
      <c r="CL24" s="36"/>
      <c r="CM24" s="36"/>
      <c r="CN24" s="36"/>
      <c r="CO24" s="36"/>
      <c r="CP24" s="36"/>
      <c r="CQ24" s="36"/>
      <c r="CR24" s="40"/>
      <c r="CS24" s="44"/>
      <c r="CT24" s="36"/>
      <c r="CU24" s="36"/>
      <c r="CV24" s="36"/>
      <c r="CW24" s="36"/>
      <c r="CX24" s="36"/>
      <c r="CY24" s="36"/>
      <c r="CZ24" s="36"/>
      <c r="DA24" s="36"/>
      <c r="DB24" s="36"/>
      <c r="DC24" s="36"/>
      <c r="DD24" s="36"/>
      <c r="DE24" s="36"/>
      <c r="DF24" s="36"/>
      <c r="DG24" s="36"/>
      <c r="DH24" s="36"/>
      <c r="DI24" s="36"/>
      <c r="DJ24" s="36"/>
      <c r="DK24" s="36"/>
      <c r="DL24" s="36"/>
      <c r="DM24" s="36"/>
      <c r="DN24" s="36"/>
      <c r="DO24" s="36"/>
      <c r="DP24" s="36"/>
      <c r="DQ24" s="36"/>
      <c r="DR24" s="36"/>
      <c r="DS24" s="36"/>
      <c r="DT24" s="36"/>
      <c r="DU24" s="36"/>
      <c r="DV24" s="40"/>
      <c r="DW24" s="52"/>
      <c r="DX24" s="36"/>
      <c r="DY24" s="36"/>
      <c r="DZ24" s="36"/>
      <c r="EA24" s="36"/>
      <c r="EB24" s="36"/>
      <c r="EC24" s="36"/>
      <c r="ED24" s="36"/>
      <c r="EE24" s="36"/>
      <c r="EF24" s="36"/>
      <c r="EG24" s="36"/>
      <c r="EH24" s="36"/>
      <c r="EI24" s="36"/>
      <c r="EJ24" s="36"/>
      <c r="EK24" s="36"/>
      <c r="EL24" s="36"/>
      <c r="EM24" s="36"/>
      <c r="EN24" s="36"/>
      <c r="EO24" s="36"/>
      <c r="EP24" s="36"/>
      <c r="EQ24" s="36"/>
      <c r="ER24" s="36"/>
      <c r="ES24" s="36"/>
      <c r="ET24" s="36"/>
      <c r="EU24" s="36"/>
      <c r="EV24" s="36"/>
      <c r="EW24" s="36"/>
      <c r="EX24" s="36"/>
      <c r="EY24" s="36"/>
      <c r="EZ24" s="36"/>
      <c r="FA24" s="53"/>
    </row>
    <row r="25" spans="1:157" x14ac:dyDescent="0.2">
      <c r="A25" s="18"/>
      <c r="B25" s="18"/>
      <c r="C25" s="19"/>
      <c r="D25" s="59"/>
      <c r="E25" s="19"/>
      <c r="G25" s="22"/>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5"/>
      <c r="AL25" s="28"/>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5"/>
      <c r="BN25" s="35"/>
      <c r="BO25" s="36"/>
      <c r="BP25" s="36"/>
      <c r="BQ25" s="36"/>
      <c r="BR25" s="36"/>
      <c r="BS25" s="36"/>
      <c r="BT25" s="36"/>
      <c r="BU25" s="36"/>
      <c r="BV25" s="36"/>
      <c r="BW25" s="36"/>
      <c r="BX25" s="36"/>
      <c r="BY25" s="36"/>
      <c r="BZ25" s="36"/>
      <c r="CA25" s="36"/>
      <c r="CB25" s="36"/>
      <c r="CC25" s="36"/>
      <c r="CD25" s="36"/>
      <c r="CE25" s="36"/>
      <c r="CF25" s="36"/>
      <c r="CG25" s="36"/>
      <c r="CH25" s="36"/>
      <c r="CI25" s="36"/>
      <c r="CJ25" s="36"/>
      <c r="CK25" s="36"/>
      <c r="CL25" s="36"/>
      <c r="CM25" s="36"/>
      <c r="CN25" s="36"/>
      <c r="CO25" s="36"/>
      <c r="CP25" s="36"/>
      <c r="CQ25" s="36"/>
      <c r="CR25" s="40"/>
      <c r="CS25" s="44"/>
      <c r="CT25" s="36"/>
      <c r="CU25" s="36"/>
      <c r="CV25" s="36"/>
      <c r="CW25" s="36"/>
      <c r="CX25" s="36"/>
      <c r="CY25" s="36"/>
      <c r="CZ25" s="36"/>
      <c r="DA25" s="36"/>
      <c r="DB25" s="36"/>
      <c r="DC25" s="36"/>
      <c r="DD25" s="36"/>
      <c r="DE25" s="36"/>
      <c r="DF25" s="36"/>
      <c r="DG25" s="36"/>
      <c r="DH25" s="36"/>
      <c r="DI25" s="36"/>
      <c r="DJ25" s="36"/>
      <c r="DK25" s="36"/>
      <c r="DL25" s="36"/>
      <c r="DM25" s="36"/>
      <c r="DN25" s="36"/>
      <c r="DO25" s="36"/>
      <c r="DP25" s="36"/>
      <c r="DQ25" s="36"/>
      <c r="DR25" s="36"/>
      <c r="DS25" s="36"/>
      <c r="DT25" s="36"/>
      <c r="DU25" s="36"/>
      <c r="DV25" s="40"/>
      <c r="DW25" s="52"/>
      <c r="DX25" s="36"/>
      <c r="DY25" s="36"/>
      <c r="DZ25" s="36"/>
      <c r="EA25" s="36"/>
      <c r="EB25" s="36"/>
      <c r="EC25" s="36"/>
      <c r="ED25" s="36"/>
      <c r="EE25" s="36"/>
      <c r="EF25" s="36"/>
      <c r="EG25" s="36"/>
      <c r="EH25" s="36"/>
      <c r="EI25" s="36"/>
      <c r="EJ25" s="36"/>
      <c r="EK25" s="36"/>
      <c r="EL25" s="36"/>
      <c r="EM25" s="36"/>
      <c r="EN25" s="36"/>
      <c r="EO25" s="36"/>
      <c r="EP25" s="36"/>
      <c r="EQ25" s="36"/>
      <c r="ER25" s="36"/>
      <c r="ES25" s="36"/>
      <c r="ET25" s="36"/>
      <c r="EU25" s="36"/>
      <c r="EV25" s="36"/>
      <c r="EW25" s="36"/>
      <c r="EX25" s="36"/>
      <c r="EY25" s="36"/>
      <c r="EZ25" s="36"/>
      <c r="FA25" s="53"/>
    </row>
    <row r="26" spans="1:157" x14ac:dyDescent="0.2">
      <c r="A26" s="18"/>
      <c r="B26" s="18"/>
      <c r="C26" s="19"/>
      <c r="D26" s="59"/>
      <c r="E26" s="19"/>
      <c r="G26" s="22"/>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5"/>
      <c r="AL26" s="28"/>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5"/>
      <c r="BN26" s="35"/>
      <c r="BO26" s="36"/>
      <c r="BP26" s="36"/>
      <c r="BQ26" s="36"/>
      <c r="BR26" s="36"/>
      <c r="BS26" s="36"/>
      <c r="BT26" s="36"/>
      <c r="BU26" s="36"/>
      <c r="BV26" s="36"/>
      <c r="BW26" s="36"/>
      <c r="BX26" s="36"/>
      <c r="BY26" s="36"/>
      <c r="BZ26" s="36"/>
      <c r="CA26" s="36"/>
      <c r="CB26" s="36"/>
      <c r="CC26" s="36"/>
      <c r="CD26" s="36"/>
      <c r="CE26" s="36"/>
      <c r="CF26" s="36"/>
      <c r="CG26" s="36"/>
      <c r="CH26" s="36"/>
      <c r="CI26" s="36"/>
      <c r="CJ26" s="36"/>
      <c r="CK26" s="36"/>
      <c r="CL26" s="36"/>
      <c r="CM26" s="36"/>
      <c r="CN26" s="36"/>
      <c r="CO26" s="36"/>
      <c r="CP26" s="36"/>
      <c r="CQ26" s="36"/>
      <c r="CR26" s="40"/>
      <c r="CS26" s="44"/>
      <c r="CT26" s="36"/>
      <c r="CU26" s="36"/>
      <c r="CV26" s="36"/>
      <c r="CW26" s="36"/>
      <c r="CX26" s="36"/>
      <c r="CY26" s="36"/>
      <c r="CZ26" s="36"/>
      <c r="DA26" s="36"/>
      <c r="DB26" s="36"/>
      <c r="DC26" s="36"/>
      <c r="DD26" s="36"/>
      <c r="DE26" s="36"/>
      <c r="DF26" s="36"/>
      <c r="DG26" s="36"/>
      <c r="DH26" s="36"/>
      <c r="DI26" s="36"/>
      <c r="DJ26" s="36"/>
      <c r="DK26" s="36"/>
      <c r="DL26" s="36"/>
      <c r="DM26" s="36"/>
      <c r="DN26" s="36"/>
      <c r="DO26" s="36"/>
      <c r="DP26" s="36"/>
      <c r="DQ26" s="36"/>
      <c r="DR26" s="36"/>
      <c r="DS26" s="36"/>
      <c r="DT26" s="36"/>
      <c r="DU26" s="36"/>
      <c r="DV26" s="40"/>
      <c r="DW26" s="52"/>
      <c r="DX26" s="36"/>
      <c r="DY26" s="36"/>
      <c r="DZ26" s="36"/>
      <c r="EA26" s="36"/>
      <c r="EB26" s="36"/>
      <c r="EC26" s="36"/>
      <c r="ED26" s="36"/>
      <c r="EE26" s="36"/>
      <c r="EF26" s="36"/>
      <c r="EG26" s="36"/>
      <c r="EH26" s="36"/>
      <c r="EI26" s="36"/>
      <c r="EJ26" s="36"/>
      <c r="EK26" s="36"/>
      <c r="EL26" s="36"/>
      <c r="EM26" s="36"/>
      <c r="EN26" s="36"/>
      <c r="EO26" s="36"/>
      <c r="EP26" s="36"/>
      <c r="EQ26" s="36"/>
      <c r="ER26" s="36"/>
      <c r="ES26" s="36"/>
      <c r="ET26" s="36"/>
      <c r="EU26" s="36"/>
      <c r="EV26" s="36"/>
      <c r="EW26" s="36"/>
      <c r="EX26" s="36"/>
      <c r="EY26" s="36"/>
      <c r="EZ26" s="36"/>
      <c r="FA26" s="53"/>
    </row>
    <row r="27" spans="1:157" x14ac:dyDescent="0.2">
      <c r="A27" s="18"/>
      <c r="B27" s="18"/>
      <c r="C27" s="19"/>
      <c r="D27" s="59"/>
      <c r="E27" s="19"/>
      <c r="G27" s="22"/>
      <c r="H27" s="23"/>
      <c r="I27" s="23"/>
      <c r="J27" s="23"/>
      <c r="K27" s="23"/>
      <c r="L27" s="23"/>
      <c r="M27" s="23"/>
      <c r="N27" s="23"/>
      <c r="O27" s="23"/>
      <c r="P27" s="23"/>
      <c r="Q27" s="23"/>
      <c r="R27" s="23"/>
      <c r="S27" s="23"/>
      <c r="T27" s="23"/>
      <c r="U27" s="23"/>
      <c r="V27" s="23"/>
      <c r="W27" s="23"/>
      <c r="X27" s="23"/>
      <c r="Y27" s="23"/>
      <c r="Z27" s="23"/>
      <c r="AA27" s="23"/>
      <c r="AB27" s="23"/>
      <c r="AC27" s="23"/>
      <c r="AD27" s="23"/>
      <c r="AE27" s="23"/>
      <c r="AF27" s="23"/>
      <c r="AG27" s="23"/>
      <c r="AH27" s="23"/>
      <c r="AI27" s="23"/>
      <c r="AJ27" s="23"/>
      <c r="AK27" s="25"/>
      <c r="AL27" s="28"/>
      <c r="AM27" s="23"/>
      <c r="AN27" s="23"/>
      <c r="AO27" s="23"/>
      <c r="AP27" s="23"/>
      <c r="AQ27" s="23"/>
      <c r="AR27" s="23"/>
      <c r="AS27" s="23"/>
      <c r="AT27" s="23"/>
      <c r="AU27" s="23"/>
      <c r="AV27" s="23"/>
      <c r="AW27" s="23"/>
      <c r="AX27" s="23"/>
      <c r="AY27" s="23"/>
      <c r="AZ27" s="23"/>
      <c r="BA27" s="23"/>
      <c r="BB27" s="23"/>
      <c r="BC27" s="23"/>
      <c r="BD27" s="23"/>
      <c r="BE27" s="23"/>
      <c r="BF27" s="23"/>
      <c r="BG27" s="23"/>
      <c r="BH27" s="23"/>
      <c r="BI27" s="23"/>
      <c r="BJ27" s="23"/>
      <c r="BK27" s="23"/>
      <c r="BL27" s="23"/>
      <c r="BM27" s="25"/>
      <c r="BN27" s="35"/>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40"/>
      <c r="CS27" s="44"/>
      <c r="CT27" s="36"/>
      <c r="CU27" s="36"/>
      <c r="CV27" s="36"/>
      <c r="CW27" s="36"/>
      <c r="CX27" s="36"/>
      <c r="CY27" s="36"/>
      <c r="CZ27" s="36"/>
      <c r="DA27" s="36"/>
      <c r="DB27" s="36"/>
      <c r="DC27" s="36"/>
      <c r="DD27" s="36"/>
      <c r="DE27" s="36"/>
      <c r="DF27" s="36"/>
      <c r="DG27" s="36"/>
      <c r="DH27" s="36"/>
      <c r="DI27" s="36"/>
      <c r="DJ27" s="36"/>
      <c r="DK27" s="36"/>
      <c r="DL27" s="36"/>
      <c r="DM27" s="36"/>
      <c r="DN27" s="36"/>
      <c r="DO27" s="36"/>
      <c r="DP27" s="36"/>
      <c r="DQ27" s="36"/>
      <c r="DR27" s="36"/>
      <c r="DS27" s="36"/>
      <c r="DT27" s="36"/>
      <c r="DU27" s="36"/>
      <c r="DV27" s="40"/>
      <c r="DW27" s="52"/>
      <c r="DX27" s="36"/>
      <c r="DY27" s="36"/>
      <c r="DZ27" s="36"/>
      <c r="EA27" s="36"/>
      <c r="EB27" s="36"/>
      <c r="EC27" s="36"/>
      <c r="ED27" s="36"/>
      <c r="EE27" s="36"/>
      <c r="EF27" s="36"/>
      <c r="EG27" s="36"/>
      <c r="EH27" s="36"/>
      <c r="EI27" s="36"/>
      <c r="EJ27" s="36"/>
      <c r="EK27" s="36"/>
      <c r="EL27" s="36"/>
      <c r="EM27" s="36"/>
      <c r="EN27" s="36"/>
      <c r="EO27" s="36"/>
      <c r="EP27" s="36"/>
      <c r="EQ27" s="36"/>
      <c r="ER27" s="36"/>
      <c r="ES27" s="36"/>
      <c r="ET27" s="36"/>
      <c r="EU27" s="36"/>
      <c r="EV27" s="36"/>
      <c r="EW27" s="36"/>
      <c r="EX27" s="36"/>
      <c r="EY27" s="36"/>
      <c r="EZ27" s="36"/>
      <c r="FA27" s="53"/>
    </row>
    <row r="28" spans="1:157" x14ac:dyDescent="0.2">
      <c r="A28" s="18"/>
      <c r="B28" s="18"/>
      <c r="C28" s="19"/>
      <c r="D28" s="59"/>
      <c r="E28" s="19"/>
      <c r="G28" s="22"/>
      <c r="H28" s="23"/>
      <c r="I28" s="23"/>
      <c r="J28" s="23"/>
      <c r="K28" s="23"/>
      <c r="L28" s="23"/>
      <c r="M28" s="23"/>
      <c r="N28" s="23"/>
      <c r="O28" s="23"/>
      <c r="P28" s="23"/>
      <c r="Q28" s="23"/>
      <c r="R28" s="23"/>
      <c r="S28" s="23"/>
      <c r="T28" s="23"/>
      <c r="U28" s="23"/>
      <c r="V28" s="23"/>
      <c r="W28" s="23"/>
      <c r="X28" s="23"/>
      <c r="Y28" s="23"/>
      <c r="Z28" s="23"/>
      <c r="AA28" s="23"/>
      <c r="AB28" s="23"/>
      <c r="AC28" s="23"/>
      <c r="AD28" s="23"/>
      <c r="AE28" s="23"/>
      <c r="AF28" s="23"/>
      <c r="AG28" s="23"/>
      <c r="AH28" s="23"/>
      <c r="AI28" s="23"/>
      <c r="AJ28" s="23"/>
      <c r="AK28" s="25"/>
      <c r="AL28" s="28"/>
      <c r="AM28" s="23"/>
      <c r="AN28" s="23"/>
      <c r="AO28" s="23"/>
      <c r="AP28" s="23"/>
      <c r="AQ28" s="23"/>
      <c r="AR28" s="23"/>
      <c r="AS28" s="23"/>
      <c r="AT28" s="23"/>
      <c r="AU28" s="23"/>
      <c r="AV28" s="23"/>
      <c r="AW28" s="23"/>
      <c r="AX28" s="23"/>
      <c r="AY28" s="23"/>
      <c r="AZ28" s="23"/>
      <c r="BA28" s="23"/>
      <c r="BB28" s="23"/>
      <c r="BC28" s="23"/>
      <c r="BD28" s="23"/>
      <c r="BE28" s="23"/>
      <c r="BF28" s="23"/>
      <c r="BG28" s="23"/>
      <c r="BH28" s="23"/>
      <c r="BI28" s="23"/>
      <c r="BJ28" s="23"/>
      <c r="BK28" s="23"/>
      <c r="BL28" s="23"/>
      <c r="BM28" s="25"/>
      <c r="BN28" s="35"/>
      <c r="BO28" s="36"/>
      <c r="BP28" s="36"/>
      <c r="BQ28" s="36"/>
      <c r="BR28" s="36"/>
      <c r="BS28" s="36"/>
      <c r="BT28" s="36"/>
      <c r="BU28" s="36"/>
      <c r="BV28" s="36"/>
      <c r="BW28" s="36"/>
      <c r="BX28" s="36"/>
      <c r="BY28" s="36"/>
      <c r="BZ28" s="36"/>
      <c r="CA28" s="36"/>
      <c r="CB28" s="36"/>
      <c r="CC28" s="36"/>
      <c r="CD28" s="36"/>
      <c r="CE28" s="36"/>
      <c r="CF28" s="36"/>
      <c r="CG28" s="36"/>
      <c r="CH28" s="36"/>
      <c r="CI28" s="36"/>
      <c r="CJ28" s="36"/>
      <c r="CK28" s="36"/>
      <c r="CL28" s="36"/>
      <c r="CM28" s="36"/>
      <c r="CN28" s="36"/>
      <c r="CO28" s="36"/>
      <c r="CP28" s="36"/>
      <c r="CQ28" s="36"/>
      <c r="CR28" s="40"/>
      <c r="CS28" s="44"/>
      <c r="CT28" s="36"/>
      <c r="CU28" s="36"/>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c r="DV28" s="40"/>
      <c r="DW28" s="52"/>
      <c r="DX28" s="36"/>
      <c r="DY28" s="36"/>
      <c r="DZ28" s="36"/>
      <c r="EA28" s="36"/>
      <c r="EB28" s="36"/>
      <c r="EC28" s="36"/>
      <c r="ED28" s="36"/>
      <c r="EE28" s="36"/>
      <c r="EF28" s="36"/>
      <c r="EG28" s="36"/>
      <c r="EH28" s="36"/>
      <c r="EI28" s="36"/>
      <c r="EJ28" s="36"/>
      <c r="EK28" s="36"/>
      <c r="EL28" s="36"/>
      <c r="EM28" s="36"/>
      <c r="EN28" s="36"/>
      <c r="EO28" s="36"/>
      <c r="EP28" s="36"/>
      <c r="EQ28" s="36"/>
      <c r="ER28" s="36"/>
      <c r="ES28" s="36"/>
      <c r="ET28" s="36"/>
      <c r="EU28" s="36"/>
      <c r="EV28" s="36"/>
      <c r="EW28" s="36"/>
      <c r="EX28" s="36"/>
      <c r="EY28" s="36"/>
      <c r="EZ28" s="36"/>
      <c r="FA28" s="53"/>
    </row>
    <row r="29" spans="1:157" x14ac:dyDescent="0.2">
      <c r="A29" s="18"/>
      <c r="B29" s="18"/>
      <c r="C29" s="19"/>
      <c r="D29" s="59"/>
      <c r="E29" s="19"/>
      <c r="G29" s="22"/>
      <c r="H29" s="23"/>
      <c r="I29" s="23"/>
      <c r="J29" s="23"/>
      <c r="K29" s="23"/>
      <c r="L29" s="23"/>
      <c r="M29" s="23"/>
      <c r="N29" s="23"/>
      <c r="O29" s="23"/>
      <c r="P29" s="23"/>
      <c r="Q29" s="23"/>
      <c r="R29" s="23"/>
      <c r="S29" s="23"/>
      <c r="T29" s="23"/>
      <c r="U29" s="23"/>
      <c r="V29" s="23"/>
      <c r="W29" s="23"/>
      <c r="X29" s="23"/>
      <c r="Y29" s="23"/>
      <c r="Z29" s="23"/>
      <c r="AA29" s="23"/>
      <c r="AB29" s="23"/>
      <c r="AC29" s="23"/>
      <c r="AD29" s="23"/>
      <c r="AE29" s="23"/>
      <c r="AF29" s="23"/>
      <c r="AG29" s="23"/>
      <c r="AH29" s="23"/>
      <c r="AI29" s="23"/>
      <c r="AJ29" s="23"/>
      <c r="AK29" s="25"/>
      <c r="AL29" s="28"/>
      <c r="AM29" s="23"/>
      <c r="AN29" s="23"/>
      <c r="AO29" s="23"/>
      <c r="AP29" s="23"/>
      <c r="AQ29" s="23"/>
      <c r="AR29" s="23"/>
      <c r="AS29" s="23"/>
      <c r="AT29" s="23"/>
      <c r="AU29" s="23"/>
      <c r="AV29" s="23"/>
      <c r="AW29" s="23"/>
      <c r="AX29" s="23"/>
      <c r="AY29" s="23"/>
      <c r="AZ29" s="23"/>
      <c r="BA29" s="23"/>
      <c r="BB29" s="23"/>
      <c r="BC29" s="23"/>
      <c r="BD29" s="23"/>
      <c r="BE29" s="23"/>
      <c r="BF29" s="23"/>
      <c r="BG29" s="23"/>
      <c r="BH29" s="23"/>
      <c r="BI29" s="23"/>
      <c r="BJ29" s="23"/>
      <c r="BK29" s="23"/>
      <c r="BL29" s="23"/>
      <c r="BM29" s="25"/>
      <c r="BN29" s="35"/>
      <c r="BO29" s="36"/>
      <c r="BP29" s="36"/>
      <c r="BQ29" s="36"/>
      <c r="BR29" s="36"/>
      <c r="BS29" s="36"/>
      <c r="BT29" s="36"/>
      <c r="BU29" s="36"/>
      <c r="BV29" s="36"/>
      <c r="BW29" s="36"/>
      <c r="BX29" s="36"/>
      <c r="BY29" s="36"/>
      <c r="BZ29" s="36"/>
      <c r="CA29" s="36"/>
      <c r="CB29" s="36"/>
      <c r="CC29" s="36"/>
      <c r="CD29" s="36"/>
      <c r="CE29" s="36"/>
      <c r="CF29" s="36"/>
      <c r="CG29" s="36"/>
      <c r="CH29" s="36"/>
      <c r="CI29" s="36"/>
      <c r="CJ29" s="36"/>
      <c r="CK29" s="36"/>
      <c r="CL29" s="36"/>
      <c r="CM29" s="36"/>
      <c r="CN29" s="36"/>
      <c r="CO29" s="36"/>
      <c r="CP29" s="36"/>
      <c r="CQ29" s="36"/>
      <c r="CR29" s="40"/>
      <c r="CS29" s="44"/>
      <c r="CT29" s="36"/>
      <c r="CU29" s="36"/>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c r="DV29" s="40"/>
      <c r="DW29" s="52"/>
      <c r="DX29" s="36"/>
      <c r="DY29" s="36"/>
      <c r="DZ29" s="36"/>
      <c r="EA29" s="36"/>
      <c r="EB29" s="36"/>
      <c r="EC29" s="36"/>
      <c r="ED29" s="36"/>
      <c r="EE29" s="36"/>
      <c r="EF29" s="36"/>
      <c r="EG29" s="36"/>
      <c r="EH29" s="36"/>
      <c r="EI29" s="36"/>
      <c r="EJ29" s="36"/>
      <c r="EK29" s="36"/>
      <c r="EL29" s="36"/>
      <c r="EM29" s="36"/>
      <c r="EN29" s="36"/>
      <c r="EO29" s="36"/>
      <c r="EP29" s="36"/>
      <c r="EQ29" s="36"/>
      <c r="ER29" s="36"/>
      <c r="ES29" s="36"/>
      <c r="ET29" s="36"/>
      <c r="EU29" s="36"/>
      <c r="EV29" s="36"/>
      <c r="EW29" s="36"/>
      <c r="EX29" s="36"/>
      <c r="EY29" s="36"/>
      <c r="EZ29" s="36"/>
      <c r="FA29" s="53"/>
    </row>
    <row r="30" spans="1:157" x14ac:dyDescent="0.2">
      <c r="A30" s="18"/>
      <c r="B30" s="18"/>
      <c r="C30" s="19"/>
      <c r="D30" s="59"/>
      <c r="E30" s="19"/>
      <c r="G30" s="22"/>
      <c r="H30" s="23"/>
      <c r="I30" s="23"/>
      <c r="J30" s="23"/>
      <c r="K30" s="23"/>
      <c r="L30" s="23"/>
      <c r="M30" s="23"/>
      <c r="N30" s="23"/>
      <c r="O30" s="23"/>
      <c r="P30" s="23"/>
      <c r="Q30" s="23"/>
      <c r="R30" s="23"/>
      <c r="S30" s="23"/>
      <c r="T30" s="23"/>
      <c r="U30" s="23"/>
      <c r="V30" s="23"/>
      <c r="W30" s="23"/>
      <c r="X30" s="23"/>
      <c r="Y30" s="23"/>
      <c r="Z30" s="23"/>
      <c r="AA30" s="23"/>
      <c r="AB30" s="23"/>
      <c r="AC30" s="23"/>
      <c r="AD30" s="23"/>
      <c r="AE30" s="23"/>
      <c r="AF30" s="23"/>
      <c r="AG30" s="23"/>
      <c r="AH30" s="23"/>
      <c r="AI30" s="23"/>
      <c r="AJ30" s="23"/>
      <c r="AK30" s="25"/>
      <c r="AL30" s="28"/>
      <c r="AM30" s="23"/>
      <c r="AN30" s="23"/>
      <c r="AO30" s="23"/>
      <c r="AP30" s="23"/>
      <c r="AQ30" s="23"/>
      <c r="AR30" s="23"/>
      <c r="AS30" s="23"/>
      <c r="AT30" s="23"/>
      <c r="AU30" s="23"/>
      <c r="AV30" s="23"/>
      <c r="AW30" s="23"/>
      <c r="AX30" s="23"/>
      <c r="AY30" s="23"/>
      <c r="AZ30" s="23"/>
      <c r="BA30" s="23"/>
      <c r="BB30" s="23"/>
      <c r="BC30" s="23"/>
      <c r="BD30" s="23"/>
      <c r="BE30" s="23"/>
      <c r="BF30" s="23"/>
      <c r="BG30" s="23"/>
      <c r="BH30" s="23"/>
      <c r="BI30" s="23"/>
      <c r="BJ30" s="23"/>
      <c r="BK30" s="23"/>
      <c r="BL30" s="23"/>
      <c r="BM30" s="25"/>
      <c r="BN30" s="35"/>
      <c r="BO30" s="36"/>
      <c r="BP30" s="36"/>
      <c r="BQ30" s="36"/>
      <c r="BR30" s="36"/>
      <c r="BS30" s="36"/>
      <c r="BT30" s="36"/>
      <c r="BU30" s="36"/>
      <c r="BV30" s="36"/>
      <c r="BW30" s="36"/>
      <c r="BX30" s="36"/>
      <c r="BY30" s="36"/>
      <c r="BZ30" s="36"/>
      <c r="CA30" s="36"/>
      <c r="CB30" s="36"/>
      <c r="CC30" s="36"/>
      <c r="CD30" s="36"/>
      <c r="CE30" s="36"/>
      <c r="CF30" s="36"/>
      <c r="CG30" s="36"/>
      <c r="CH30" s="36"/>
      <c r="CI30" s="36"/>
      <c r="CJ30" s="36"/>
      <c r="CK30" s="36"/>
      <c r="CL30" s="36"/>
      <c r="CM30" s="36"/>
      <c r="CN30" s="36"/>
      <c r="CO30" s="36"/>
      <c r="CP30" s="36"/>
      <c r="CQ30" s="36"/>
      <c r="CR30" s="40"/>
      <c r="CS30" s="44"/>
      <c r="CT30" s="36"/>
      <c r="CU30" s="36"/>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c r="DV30" s="40"/>
      <c r="DW30" s="52"/>
      <c r="DX30" s="36"/>
      <c r="DY30" s="36"/>
      <c r="DZ30" s="36"/>
      <c r="EA30" s="36"/>
      <c r="EB30" s="36"/>
      <c r="EC30" s="36"/>
      <c r="ED30" s="36"/>
      <c r="EE30" s="36"/>
      <c r="EF30" s="36"/>
      <c r="EG30" s="36"/>
      <c r="EH30" s="36"/>
      <c r="EI30" s="36"/>
      <c r="EJ30" s="36"/>
      <c r="EK30" s="36"/>
      <c r="EL30" s="36"/>
      <c r="EM30" s="36"/>
      <c r="EN30" s="36"/>
      <c r="EO30" s="36"/>
      <c r="EP30" s="36"/>
      <c r="EQ30" s="36"/>
      <c r="ER30" s="36"/>
      <c r="ES30" s="36"/>
      <c r="ET30" s="36"/>
      <c r="EU30" s="36"/>
      <c r="EV30" s="36"/>
      <c r="EW30" s="36"/>
      <c r="EX30" s="36"/>
      <c r="EY30" s="36"/>
      <c r="EZ30" s="36"/>
      <c r="FA30" s="53"/>
    </row>
    <row r="31" spans="1:157" x14ac:dyDescent="0.2">
      <c r="A31" s="18"/>
      <c r="B31" s="18"/>
      <c r="C31" s="19"/>
      <c r="D31" s="59"/>
      <c r="E31" s="19"/>
      <c r="G31" s="22"/>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5"/>
      <c r="AL31" s="28"/>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5"/>
      <c r="BN31" s="35"/>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40"/>
      <c r="CS31" s="44"/>
      <c r="CT31" s="36"/>
      <c r="CU31" s="36"/>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c r="DV31" s="40"/>
      <c r="DW31" s="52"/>
      <c r="DX31" s="36"/>
      <c r="DY31" s="36"/>
      <c r="DZ31" s="36"/>
      <c r="EA31" s="36"/>
      <c r="EB31" s="36"/>
      <c r="EC31" s="36"/>
      <c r="ED31" s="36"/>
      <c r="EE31" s="36"/>
      <c r="EF31" s="36"/>
      <c r="EG31" s="36"/>
      <c r="EH31" s="36"/>
      <c r="EI31" s="36"/>
      <c r="EJ31" s="36"/>
      <c r="EK31" s="36"/>
      <c r="EL31" s="36"/>
      <c r="EM31" s="36"/>
      <c r="EN31" s="36"/>
      <c r="EO31" s="36"/>
      <c r="EP31" s="36"/>
      <c r="EQ31" s="36"/>
      <c r="ER31" s="36"/>
      <c r="ES31" s="36"/>
      <c r="ET31" s="36"/>
      <c r="EU31" s="36"/>
      <c r="EV31" s="36"/>
      <c r="EW31" s="36"/>
      <c r="EX31" s="36"/>
      <c r="EY31" s="36"/>
      <c r="EZ31" s="36"/>
      <c r="FA31" s="53"/>
    </row>
    <row r="32" spans="1:157" x14ac:dyDescent="0.2">
      <c r="A32" s="18"/>
      <c r="B32" s="18"/>
      <c r="C32" s="19"/>
      <c r="D32" s="59"/>
      <c r="E32" s="19"/>
      <c r="G32" s="22"/>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5"/>
      <c r="AL32" s="28"/>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5"/>
      <c r="BN32" s="35"/>
      <c r="BO32" s="36"/>
      <c r="BP32" s="36"/>
      <c r="BQ32" s="36"/>
      <c r="BR32" s="36"/>
      <c r="BS32" s="36"/>
      <c r="BT32" s="36"/>
      <c r="BU32" s="36"/>
      <c r="BV32" s="36"/>
      <c r="BW32" s="36"/>
      <c r="BX32" s="36"/>
      <c r="BY32" s="36"/>
      <c r="BZ32" s="36"/>
      <c r="CA32" s="36"/>
      <c r="CB32" s="36"/>
      <c r="CC32" s="36"/>
      <c r="CD32" s="36"/>
      <c r="CE32" s="36"/>
      <c r="CF32" s="36"/>
      <c r="CG32" s="36"/>
      <c r="CH32" s="36"/>
      <c r="CI32" s="36"/>
      <c r="CJ32" s="36"/>
      <c r="CK32" s="36"/>
      <c r="CL32" s="36"/>
      <c r="CM32" s="36"/>
      <c r="CN32" s="36"/>
      <c r="CO32" s="36"/>
      <c r="CP32" s="36"/>
      <c r="CQ32" s="36"/>
      <c r="CR32" s="40"/>
      <c r="CS32" s="44"/>
      <c r="CT32" s="36"/>
      <c r="CU32" s="36"/>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c r="DV32" s="40"/>
      <c r="DW32" s="52"/>
      <c r="DX32" s="36"/>
      <c r="DY32" s="36"/>
      <c r="DZ32" s="36"/>
      <c r="EA32" s="36"/>
      <c r="EB32" s="36"/>
      <c r="EC32" s="36"/>
      <c r="ED32" s="36"/>
      <c r="EE32" s="36"/>
      <c r="EF32" s="36"/>
      <c r="EG32" s="36"/>
      <c r="EH32" s="36"/>
      <c r="EI32" s="36"/>
      <c r="EJ32" s="36"/>
      <c r="EK32" s="36"/>
      <c r="EL32" s="36"/>
      <c r="EM32" s="36"/>
      <c r="EN32" s="36"/>
      <c r="EO32" s="36"/>
      <c r="EP32" s="36"/>
      <c r="EQ32" s="36"/>
      <c r="ER32" s="36"/>
      <c r="ES32" s="36"/>
      <c r="ET32" s="36"/>
      <c r="EU32" s="36"/>
      <c r="EV32" s="36"/>
      <c r="EW32" s="36"/>
      <c r="EX32" s="36"/>
      <c r="EY32" s="36"/>
      <c r="EZ32" s="36"/>
      <c r="FA32" s="53"/>
    </row>
    <row r="33" spans="1:157" x14ac:dyDescent="0.2">
      <c r="A33" s="18"/>
      <c r="B33" s="18"/>
      <c r="C33" s="19"/>
      <c r="D33" s="59"/>
      <c r="E33" s="19"/>
      <c r="G33" s="22"/>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5"/>
      <c r="AL33" s="28"/>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c r="BK33" s="23"/>
      <c r="BL33" s="23"/>
      <c r="BM33" s="25"/>
      <c r="BN33" s="35"/>
      <c r="BO33" s="36"/>
      <c r="BP33" s="36"/>
      <c r="BQ33" s="36"/>
      <c r="BR33" s="36"/>
      <c r="BS33" s="36"/>
      <c r="BT33" s="36"/>
      <c r="BU33" s="36"/>
      <c r="BV33" s="36"/>
      <c r="BW33" s="36"/>
      <c r="BX33" s="36"/>
      <c r="BY33" s="36"/>
      <c r="BZ33" s="36"/>
      <c r="CA33" s="36"/>
      <c r="CB33" s="36"/>
      <c r="CC33" s="36"/>
      <c r="CD33" s="36"/>
      <c r="CE33" s="36"/>
      <c r="CF33" s="36"/>
      <c r="CG33" s="36"/>
      <c r="CH33" s="36"/>
      <c r="CI33" s="36"/>
      <c r="CJ33" s="36"/>
      <c r="CK33" s="36"/>
      <c r="CL33" s="36"/>
      <c r="CM33" s="36"/>
      <c r="CN33" s="36"/>
      <c r="CO33" s="36"/>
      <c r="CP33" s="36"/>
      <c r="CQ33" s="36"/>
      <c r="CR33" s="40"/>
      <c r="CS33" s="44"/>
      <c r="CT33" s="36"/>
      <c r="CU33" s="36"/>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c r="DV33" s="40"/>
      <c r="DW33" s="52"/>
      <c r="DX33" s="36"/>
      <c r="DY33" s="36"/>
      <c r="DZ33" s="36"/>
      <c r="EA33" s="36"/>
      <c r="EB33" s="36"/>
      <c r="EC33" s="36"/>
      <c r="ED33" s="36"/>
      <c r="EE33" s="36"/>
      <c r="EF33" s="36"/>
      <c r="EG33" s="36"/>
      <c r="EH33" s="36"/>
      <c r="EI33" s="36"/>
      <c r="EJ33" s="36"/>
      <c r="EK33" s="36"/>
      <c r="EL33" s="36"/>
      <c r="EM33" s="36"/>
      <c r="EN33" s="36"/>
      <c r="EO33" s="36"/>
      <c r="EP33" s="36"/>
      <c r="EQ33" s="36"/>
      <c r="ER33" s="36"/>
      <c r="ES33" s="36"/>
      <c r="ET33" s="36"/>
      <c r="EU33" s="36"/>
      <c r="EV33" s="36"/>
      <c r="EW33" s="36"/>
      <c r="EX33" s="36"/>
      <c r="EY33" s="36"/>
      <c r="EZ33" s="36"/>
      <c r="FA33" s="53"/>
    </row>
    <row r="34" spans="1:157" x14ac:dyDescent="0.2">
      <c r="A34" s="18"/>
      <c r="B34" s="18"/>
      <c r="C34" s="19"/>
      <c r="D34" s="59"/>
      <c r="E34" s="19"/>
      <c r="G34" s="22"/>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5"/>
      <c r="AL34" s="28"/>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c r="BK34" s="23"/>
      <c r="BL34" s="23"/>
      <c r="BM34" s="25"/>
      <c r="BN34" s="35"/>
      <c r="BO34" s="36"/>
      <c r="BP34" s="36"/>
      <c r="BQ34" s="36"/>
      <c r="BR34" s="36"/>
      <c r="BS34" s="36"/>
      <c r="BT34" s="36"/>
      <c r="BU34" s="36"/>
      <c r="BV34" s="36"/>
      <c r="BW34" s="36"/>
      <c r="BX34" s="36"/>
      <c r="BY34" s="36"/>
      <c r="BZ34" s="36"/>
      <c r="CA34" s="36"/>
      <c r="CB34" s="36"/>
      <c r="CC34" s="36"/>
      <c r="CD34" s="36"/>
      <c r="CE34" s="36"/>
      <c r="CF34" s="36"/>
      <c r="CG34" s="36"/>
      <c r="CH34" s="36"/>
      <c r="CI34" s="36"/>
      <c r="CJ34" s="36"/>
      <c r="CK34" s="36"/>
      <c r="CL34" s="36"/>
      <c r="CM34" s="36"/>
      <c r="CN34" s="36"/>
      <c r="CO34" s="36"/>
      <c r="CP34" s="36"/>
      <c r="CQ34" s="36"/>
      <c r="CR34" s="40"/>
      <c r="CS34" s="44"/>
      <c r="CT34" s="36"/>
      <c r="CU34" s="36"/>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c r="DV34" s="40"/>
      <c r="DW34" s="52"/>
      <c r="DX34" s="36"/>
      <c r="DY34" s="36"/>
      <c r="DZ34" s="36"/>
      <c r="EA34" s="36"/>
      <c r="EB34" s="36"/>
      <c r="EC34" s="36"/>
      <c r="ED34" s="36"/>
      <c r="EE34" s="36"/>
      <c r="EF34" s="36"/>
      <c r="EG34" s="36"/>
      <c r="EH34" s="36"/>
      <c r="EI34" s="36"/>
      <c r="EJ34" s="36"/>
      <c r="EK34" s="36"/>
      <c r="EL34" s="36"/>
      <c r="EM34" s="36"/>
      <c r="EN34" s="36"/>
      <c r="EO34" s="36"/>
      <c r="EP34" s="36"/>
      <c r="EQ34" s="36"/>
      <c r="ER34" s="36"/>
      <c r="ES34" s="36"/>
      <c r="ET34" s="36"/>
      <c r="EU34" s="36"/>
      <c r="EV34" s="36"/>
      <c r="EW34" s="36"/>
      <c r="EX34" s="36"/>
      <c r="EY34" s="36"/>
      <c r="EZ34" s="36"/>
      <c r="FA34" s="53"/>
    </row>
    <row r="35" spans="1:157" x14ac:dyDescent="0.2">
      <c r="A35" s="18"/>
      <c r="B35" s="18"/>
      <c r="C35" s="19"/>
      <c r="D35" s="59"/>
      <c r="E35" s="19"/>
      <c r="G35" s="22"/>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5"/>
      <c r="AL35" s="28"/>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c r="BK35" s="23"/>
      <c r="BL35" s="23"/>
      <c r="BM35" s="25"/>
      <c r="BN35" s="35"/>
      <c r="BO35" s="36"/>
      <c r="BP35" s="36"/>
      <c r="BQ35" s="36"/>
      <c r="BR35" s="36"/>
      <c r="BS35" s="36"/>
      <c r="BT35" s="36"/>
      <c r="BU35" s="36"/>
      <c r="BV35" s="36"/>
      <c r="BW35" s="36"/>
      <c r="BX35" s="36"/>
      <c r="BY35" s="36"/>
      <c r="BZ35" s="36"/>
      <c r="CA35" s="36"/>
      <c r="CB35" s="36"/>
      <c r="CC35" s="36"/>
      <c r="CD35" s="36"/>
      <c r="CE35" s="36"/>
      <c r="CF35" s="36"/>
      <c r="CG35" s="36"/>
      <c r="CH35" s="36"/>
      <c r="CI35" s="36"/>
      <c r="CJ35" s="36"/>
      <c r="CK35" s="36"/>
      <c r="CL35" s="36"/>
      <c r="CM35" s="36"/>
      <c r="CN35" s="36"/>
      <c r="CO35" s="36"/>
      <c r="CP35" s="36"/>
      <c r="CQ35" s="36"/>
      <c r="CR35" s="40"/>
      <c r="CS35" s="44"/>
      <c r="CT35" s="36"/>
      <c r="CU35" s="36"/>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c r="DV35" s="40"/>
      <c r="DW35" s="52"/>
      <c r="DX35" s="36"/>
      <c r="DY35" s="36"/>
      <c r="DZ35" s="36"/>
      <c r="EA35" s="36"/>
      <c r="EB35" s="36"/>
      <c r="EC35" s="36"/>
      <c r="ED35" s="36"/>
      <c r="EE35" s="36"/>
      <c r="EF35" s="36"/>
      <c r="EG35" s="36"/>
      <c r="EH35" s="36"/>
      <c r="EI35" s="36"/>
      <c r="EJ35" s="36"/>
      <c r="EK35" s="36"/>
      <c r="EL35" s="36"/>
      <c r="EM35" s="36"/>
      <c r="EN35" s="36"/>
      <c r="EO35" s="36"/>
      <c r="EP35" s="36"/>
      <c r="EQ35" s="36"/>
      <c r="ER35" s="36"/>
      <c r="ES35" s="36"/>
      <c r="ET35" s="36"/>
      <c r="EU35" s="36"/>
      <c r="EV35" s="36"/>
      <c r="EW35" s="36"/>
      <c r="EX35" s="36"/>
      <c r="EY35" s="36"/>
      <c r="EZ35" s="36"/>
      <c r="FA35" s="53"/>
    </row>
    <row r="36" spans="1:157" x14ac:dyDescent="0.2">
      <c r="A36" s="18"/>
      <c r="B36" s="18"/>
      <c r="C36" s="19"/>
      <c r="D36" s="59"/>
      <c r="E36" s="19"/>
      <c r="G36" s="22"/>
      <c r="H36" s="23"/>
      <c r="I36" s="23"/>
      <c r="J36" s="23"/>
      <c r="K36" s="23"/>
      <c r="L36" s="23"/>
      <c r="M36" s="23"/>
      <c r="N36" s="23"/>
      <c r="O36" s="23"/>
      <c r="P36" s="23"/>
      <c r="Q36" s="23"/>
      <c r="R36" s="23"/>
      <c r="S36" s="23"/>
      <c r="T36" s="23"/>
      <c r="U36" s="23"/>
      <c r="V36" s="23"/>
      <c r="W36" s="23"/>
      <c r="X36" s="23"/>
      <c r="Y36" s="23"/>
      <c r="Z36" s="23"/>
      <c r="AA36" s="23"/>
      <c r="AB36" s="23"/>
      <c r="AC36" s="23"/>
      <c r="AD36" s="23"/>
      <c r="AE36" s="23"/>
      <c r="AF36" s="23"/>
      <c r="AG36" s="23"/>
      <c r="AH36" s="23"/>
      <c r="AI36" s="23"/>
      <c r="AJ36" s="23"/>
      <c r="AK36" s="25"/>
      <c r="AL36" s="28"/>
      <c r="AM36" s="23"/>
      <c r="AN36" s="23"/>
      <c r="AO36" s="23"/>
      <c r="AP36" s="23"/>
      <c r="AQ36" s="23"/>
      <c r="AR36" s="23"/>
      <c r="AS36" s="23"/>
      <c r="AT36" s="23"/>
      <c r="AU36" s="23"/>
      <c r="AV36" s="23"/>
      <c r="AW36" s="23"/>
      <c r="AX36" s="23"/>
      <c r="AY36" s="23"/>
      <c r="AZ36" s="23"/>
      <c r="BA36" s="23"/>
      <c r="BB36" s="23"/>
      <c r="BC36" s="23"/>
      <c r="BD36" s="23"/>
      <c r="BE36" s="23"/>
      <c r="BF36" s="23"/>
      <c r="BG36" s="23"/>
      <c r="BH36" s="23"/>
      <c r="BI36" s="23"/>
      <c r="BJ36" s="23"/>
      <c r="BK36" s="23"/>
      <c r="BL36" s="23"/>
      <c r="BM36" s="25"/>
      <c r="BN36" s="35"/>
      <c r="BO36" s="36"/>
      <c r="BP36" s="36"/>
      <c r="BQ36" s="36"/>
      <c r="BR36" s="36"/>
      <c r="BS36" s="36"/>
      <c r="BT36" s="36"/>
      <c r="BU36" s="36"/>
      <c r="BV36" s="36"/>
      <c r="BW36" s="36"/>
      <c r="BX36" s="36"/>
      <c r="BY36" s="36"/>
      <c r="BZ36" s="36"/>
      <c r="CA36" s="36"/>
      <c r="CB36" s="36"/>
      <c r="CC36" s="36"/>
      <c r="CD36" s="36"/>
      <c r="CE36" s="36"/>
      <c r="CF36" s="36"/>
      <c r="CG36" s="36"/>
      <c r="CH36" s="36"/>
      <c r="CI36" s="36"/>
      <c r="CJ36" s="36"/>
      <c r="CK36" s="36"/>
      <c r="CL36" s="36"/>
      <c r="CM36" s="36"/>
      <c r="CN36" s="36"/>
      <c r="CO36" s="36"/>
      <c r="CP36" s="36"/>
      <c r="CQ36" s="36"/>
      <c r="CR36" s="40"/>
      <c r="CS36" s="44"/>
      <c r="CT36" s="36"/>
      <c r="CU36" s="36"/>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c r="DV36" s="40"/>
      <c r="DW36" s="52"/>
      <c r="DX36" s="36"/>
      <c r="DY36" s="36"/>
      <c r="DZ36" s="36"/>
      <c r="EA36" s="36"/>
      <c r="EB36" s="36"/>
      <c r="EC36" s="36"/>
      <c r="ED36" s="36"/>
      <c r="EE36" s="36"/>
      <c r="EF36" s="36"/>
      <c r="EG36" s="36"/>
      <c r="EH36" s="36"/>
      <c r="EI36" s="36"/>
      <c r="EJ36" s="36"/>
      <c r="EK36" s="36"/>
      <c r="EL36" s="36"/>
      <c r="EM36" s="36"/>
      <c r="EN36" s="36"/>
      <c r="EO36" s="36"/>
      <c r="EP36" s="36"/>
      <c r="EQ36" s="36"/>
      <c r="ER36" s="36"/>
      <c r="ES36" s="36"/>
      <c r="ET36" s="36"/>
      <c r="EU36" s="36"/>
      <c r="EV36" s="36"/>
      <c r="EW36" s="36"/>
      <c r="EX36" s="36"/>
      <c r="EY36" s="36"/>
      <c r="EZ36" s="36"/>
      <c r="FA36" s="53"/>
    </row>
    <row r="37" spans="1:157" x14ac:dyDescent="0.2">
      <c r="A37" s="18"/>
      <c r="B37" s="18"/>
      <c r="C37" s="19"/>
      <c r="D37" s="59"/>
      <c r="E37" s="19"/>
      <c r="G37" s="22"/>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5"/>
      <c r="AL37" s="28"/>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c r="BK37" s="23"/>
      <c r="BL37" s="23"/>
      <c r="BM37" s="25"/>
      <c r="BN37" s="35"/>
      <c r="BO37" s="36"/>
      <c r="BP37" s="36"/>
      <c r="BQ37" s="36"/>
      <c r="BR37" s="36"/>
      <c r="BS37" s="36"/>
      <c r="BT37" s="36"/>
      <c r="BU37" s="36"/>
      <c r="BV37" s="36"/>
      <c r="BW37" s="36"/>
      <c r="BX37" s="36"/>
      <c r="BY37" s="36"/>
      <c r="BZ37" s="36"/>
      <c r="CA37" s="36"/>
      <c r="CB37" s="36"/>
      <c r="CC37" s="36"/>
      <c r="CD37" s="36"/>
      <c r="CE37" s="36"/>
      <c r="CF37" s="36"/>
      <c r="CG37" s="36"/>
      <c r="CH37" s="36"/>
      <c r="CI37" s="36"/>
      <c r="CJ37" s="36"/>
      <c r="CK37" s="36"/>
      <c r="CL37" s="36"/>
      <c r="CM37" s="36"/>
      <c r="CN37" s="36"/>
      <c r="CO37" s="36"/>
      <c r="CP37" s="36"/>
      <c r="CQ37" s="36"/>
      <c r="CR37" s="40"/>
      <c r="CS37" s="44"/>
      <c r="CT37" s="36"/>
      <c r="CU37" s="36"/>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c r="DV37" s="40"/>
      <c r="DW37" s="52"/>
      <c r="DX37" s="36"/>
      <c r="DY37" s="36"/>
      <c r="DZ37" s="36"/>
      <c r="EA37" s="36"/>
      <c r="EB37" s="36"/>
      <c r="EC37" s="36"/>
      <c r="ED37" s="36"/>
      <c r="EE37" s="36"/>
      <c r="EF37" s="36"/>
      <c r="EG37" s="36"/>
      <c r="EH37" s="36"/>
      <c r="EI37" s="36"/>
      <c r="EJ37" s="36"/>
      <c r="EK37" s="36"/>
      <c r="EL37" s="36"/>
      <c r="EM37" s="36"/>
      <c r="EN37" s="36"/>
      <c r="EO37" s="36"/>
      <c r="EP37" s="36"/>
      <c r="EQ37" s="36"/>
      <c r="ER37" s="36"/>
      <c r="ES37" s="36"/>
      <c r="ET37" s="36"/>
      <c r="EU37" s="36"/>
      <c r="EV37" s="36"/>
      <c r="EW37" s="36"/>
      <c r="EX37" s="36"/>
      <c r="EY37" s="36"/>
      <c r="EZ37" s="36"/>
      <c r="FA37" s="53"/>
    </row>
    <row r="38" spans="1:157" x14ac:dyDescent="0.2">
      <c r="A38" s="18"/>
      <c r="B38" s="18"/>
      <c r="C38" s="19"/>
      <c r="D38" s="59"/>
      <c r="E38" s="19"/>
      <c r="G38" s="22"/>
      <c r="H38" s="23"/>
      <c r="I38" s="23"/>
      <c r="J38" s="23"/>
      <c r="K38" s="23"/>
      <c r="L38" s="23"/>
      <c r="M38" s="23"/>
      <c r="N38" s="23"/>
      <c r="O38" s="23"/>
      <c r="P38" s="23"/>
      <c r="Q38" s="23"/>
      <c r="R38" s="23"/>
      <c r="S38" s="23"/>
      <c r="T38" s="23"/>
      <c r="U38" s="23"/>
      <c r="V38" s="23"/>
      <c r="W38" s="23"/>
      <c r="X38" s="23"/>
      <c r="Y38" s="23"/>
      <c r="Z38" s="23"/>
      <c r="AA38" s="23"/>
      <c r="AB38" s="23"/>
      <c r="AC38" s="23"/>
      <c r="AD38" s="23"/>
      <c r="AE38" s="23"/>
      <c r="AF38" s="23"/>
      <c r="AG38" s="23"/>
      <c r="AH38" s="23"/>
      <c r="AI38" s="23"/>
      <c r="AJ38" s="23"/>
      <c r="AK38" s="25"/>
      <c r="AL38" s="28"/>
      <c r="AM38" s="23"/>
      <c r="AN38" s="23"/>
      <c r="AO38" s="23"/>
      <c r="AP38" s="23"/>
      <c r="AQ38" s="23"/>
      <c r="AR38" s="23"/>
      <c r="AS38" s="23"/>
      <c r="AT38" s="23"/>
      <c r="AU38" s="23"/>
      <c r="AV38" s="23"/>
      <c r="AW38" s="23"/>
      <c r="AX38" s="23"/>
      <c r="AY38" s="23"/>
      <c r="AZ38" s="23"/>
      <c r="BA38" s="23"/>
      <c r="BB38" s="23"/>
      <c r="BC38" s="23"/>
      <c r="BD38" s="23"/>
      <c r="BE38" s="23"/>
      <c r="BF38" s="23"/>
      <c r="BG38" s="23"/>
      <c r="BH38" s="23"/>
      <c r="BI38" s="23"/>
      <c r="BJ38" s="23"/>
      <c r="BK38" s="23"/>
      <c r="BL38" s="23"/>
      <c r="BM38" s="25"/>
      <c r="BN38" s="35"/>
      <c r="BO38" s="36"/>
      <c r="BP38" s="36"/>
      <c r="BQ38" s="36"/>
      <c r="BR38" s="36"/>
      <c r="BS38" s="36"/>
      <c r="BT38" s="36"/>
      <c r="BU38" s="36"/>
      <c r="BV38" s="36"/>
      <c r="BW38" s="36"/>
      <c r="BX38" s="36"/>
      <c r="BY38" s="36"/>
      <c r="BZ38" s="36"/>
      <c r="CA38" s="36"/>
      <c r="CB38" s="36"/>
      <c r="CC38" s="36"/>
      <c r="CD38" s="36"/>
      <c r="CE38" s="36"/>
      <c r="CF38" s="36"/>
      <c r="CG38" s="36"/>
      <c r="CH38" s="36"/>
      <c r="CI38" s="36"/>
      <c r="CJ38" s="36"/>
      <c r="CK38" s="36"/>
      <c r="CL38" s="36"/>
      <c r="CM38" s="36"/>
      <c r="CN38" s="36"/>
      <c r="CO38" s="36"/>
      <c r="CP38" s="36"/>
      <c r="CQ38" s="36"/>
      <c r="CR38" s="40"/>
      <c r="CS38" s="44"/>
      <c r="CT38" s="36"/>
      <c r="CU38" s="36"/>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c r="DV38" s="40"/>
      <c r="DW38" s="52"/>
      <c r="DX38" s="36"/>
      <c r="DY38" s="36"/>
      <c r="DZ38" s="36"/>
      <c r="EA38" s="36"/>
      <c r="EB38" s="36"/>
      <c r="EC38" s="36"/>
      <c r="ED38" s="36"/>
      <c r="EE38" s="36"/>
      <c r="EF38" s="36"/>
      <c r="EG38" s="36"/>
      <c r="EH38" s="36"/>
      <c r="EI38" s="36"/>
      <c r="EJ38" s="36"/>
      <c r="EK38" s="36"/>
      <c r="EL38" s="36"/>
      <c r="EM38" s="36"/>
      <c r="EN38" s="36"/>
      <c r="EO38" s="36"/>
      <c r="EP38" s="36"/>
      <c r="EQ38" s="36"/>
      <c r="ER38" s="36"/>
      <c r="ES38" s="36"/>
      <c r="ET38" s="36"/>
      <c r="EU38" s="36"/>
      <c r="EV38" s="36"/>
      <c r="EW38" s="36"/>
      <c r="EX38" s="36"/>
      <c r="EY38" s="36"/>
      <c r="EZ38" s="36"/>
      <c r="FA38" s="53"/>
    </row>
    <row r="39" spans="1:157" x14ac:dyDescent="0.2">
      <c r="A39" s="18"/>
      <c r="B39" s="18"/>
      <c r="C39" s="19"/>
      <c r="D39" s="59"/>
      <c r="E39" s="19"/>
      <c r="G39" s="22"/>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5"/>
      <c r="AL39" s="28"/>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5"/>
      <c r="BN39" s="35"/>
      <c r="BO39" s="36"/>
      <c r="BP39" s="36"/>
      <c r="BQ39" s="36"/>
      <c r="BR39" s="36"/>
      <c r="BS39" s="36"/>
      <c r="BT39" s="36"/>
      <c r="BU39" s="36"/>
      <c r="BV39" s="36"/>
      <c r="BW39" s="36"/>
      <c r="BX39" s="36"/>
      <c r="BY39" s="36"/>
      <c r="BZ39" s="36"/>
      <c r="CA39" s="36"/>
      <c r="CB39" s="36"/>
      <c r="CC39" s="36"/>
      <c r="CD39" s="36"/>
      <c r="CE39" s="36"/>
      <c r="CF39" s="36"/>
      <c r="CG39" s="36"/>
      <c r="CH39" s="36"/>
      <c r="CI39" s="36"/>
      <c r="CJ39" s="36"/>
      <c r="CK39" s="36"/>
      <c r="CL39" s="36"/>
      <c r="CM39" s="36"/>
      <c r="CN39" s="36"/>
      <c r="CO39" s="36"/>
      <c r="CP39" s="36"/>
      <c r="CQ39" s="36"/>
      <c r="CR39" s="40"/>
      <c r="CS39" s="44"/>
      <c r="CT39" s="36"/>
      <c r="CU39" s="36"/>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c r="DV39" s="40"/>
      <c r="DW39" s="52"/>
      <c r="DX39" s="36"/>
      <c r="DY39" s="36"/>
      <c r="DZ39" s="36"/>
      <c r="EA39" s="36"/>
      <c r="EB39" s="36"/>
      <c r="EC39" s="36"/>
      <c r="ED39" s="36"/>
      <c r="EE39" s="36"/>
      <c r="EF39" s="36"/>
      <c r="EG39" s="36"/>
      <c r="EH39" s="36"/>
      <c r="EI39" s="36"/>
      <c r="EJ39" s="36"/>
      <c r="EK39" s="36"/>
      <c r="EL39" s="36"/>
      <c r="EM39" s="36"/>
      <c r="EN39" s="36"/>
      <c r="EO39" s="36"/>
      <c r="EP39" s="36"/>
      <c r="EQ39" s="36"/>
      <c r="ER39" s="36"/>
      <c r="ES39" s="36"/>
      <c r="ET39" s="36"/>
      <c r="EU39" s="36"/>
      <c r="EV39" s="36"/>
      <c r="EW39" s="36"/>
      <c r="EX39" s="36"/>
      <c r="EY39" s="36"/>
      <c r="EZ39" s="36"/>
      <c r="FA39" s="53"/>
    </row>
    <row r="40" spans="1:157" x14ac:dyDescent="0.2">
      <c r="A40" s="18"/>
      <c r="B40" s="18"/>
      <c r="C40" s="19"/>
      <c r="D40" s="59"/>
      <c r="E40" s="19"/>
      <c r="G40" s="22"/>
      <c r="H40" s="23"/>
      <c r="I40" s="23"/>
      <c r="J40" s="23"/>
      <c r="K40" s="23"/>
      <c r="L40" s="23"/>
      <c r="M40" s="23"/>
      <c r="N40" s="23"/>
      <c r="O40" s="23"/>
      <c r="P40" s="23"/>
      <c r="Q40" s="23"/>
      <c r="R40" s="23"/>
      <c r="S40" s="23"/>
      <c r="T40" s="23"/>
      <c r="U40" s="23"/>
      <c r="V40" s="23"/>
      <c r="W40" s="23"/>
      <c r="X40" s="23"/>
      <c r="Y40" s="23"/>
      <c r="Z40" s="23"/>
      <c r="AA40" s="23"/>
      <c r="AB40" s="23"/>
      <c r="AC40" s="23"/>
      <c r="AD40" s="23"/>
      <c r="AE40" s="23"/>
      <c r="AF40" s="23"/>
      <c r="AG40" s="23"/>
      <c r="AH40" s="23"/>
      <c r="AI40" s="23"/>
      <c r="AJ40" s="23"/>
      <c r="AK40" s="25"/>
      <c r="AL40" s="28"/>
      <c r="AM40" s="23"/>
      <c r="AN40" s="23"/>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5"/>
      <c r="BN40" s="35"/>
      <c r="BO40" s="36"/>
      <c r="BP40" s="36"/>
      <c r="BQ40" s="36"/>
      <c r="BR40" s="36"/>
      <c r="BS40" s="36"/>
      <c r="BT40" s="36"/>
      <c r="BU40" s="36"/>
      <c r="BV40" s="36"/>
      <c r="BW40" s="36"/>
      <c r="BX40" s="36"/>
      <c r="BY40" s="36"/>
      <c r="BZ40" s="36"/>
      <c r="CA40" s="36"/>
      <c r="CB40" s="36"/>
      <c r="CC40" s="36"/>
      <c r="CD40" s="36"/>
      <c r="CE40" s="36"/>
      <c r="CF40" s="36"/>
      <c r="CG40" s="36"/>
      <c r="CH40" s="36"/>
      <c r="CI40" s="36"/>
      <c r="CJ40" s="36"/>
      <c r="CK40" s="36"/>
      <c r="CL40" s="36"/>
      <c r="CM40" s="36"/>
      <c r="CN40" s="36"/>
      <c r="CO40" s="36"/>
      <c r="CP40" s="36"/>
      <c r="CQ40" s="36"/>
      <c r="CR40" s="40"/>
      <c r="CS40" s="44"/>
      <c r="CT40" s="36"/>
      <c r="CU40" s="36"/>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c r="DV40" s="40"/>
      <c r="DW40" s="52"/>
      <c r="DX40" s="36"/>
      <c r="DY40" s="36"/>
      <c r="DZ40" s="36"/>
      <c r="EA40" s="36"/>
      <c r="EB40" s="36"/>
      <c r="EC40" s="36"/>
      <c r="ED40" s="36"/>
      <c r="EE40" s="36"/>
      <c r="EF40" s="36"/>
      <c r="EG40" s="36"/>
      <c r="EH40" s="36"/>
      <c r="EI40" s="36"/>
      <c r="EJ40" s="36"/>
      <c r="EK40" s="36"/>
      <c r="EL40" s="36"/>
      <c r="EM40" s="36"/>
      <c r="EN40" s="36"/>
      <c r="EO40" s="36"/>
      <c r="EP40" s="36"/>
      <c r="EQ40" s="36"/>
      <c r="ER40" s="36"/>
      <c r="ES40" s="36"/>
      <c r="ET40" s="36"/>
      <c r="EU40" s="36"/>
      <c r="EV40" s="36"/>
      <c r="EW40" s="36"/>
      <c r="EX40" s="36"/>
      <c r="EY40" s="36"/>
      <c r="EZ40" s="36"/>
      <c r="FA40" s="53"/>
    </row>
    <row r="41" spans="1:157" x14ac:dyDescent="0.2">
      <c r="A41" s="18"/>
      <c r="B41" s="18"/>
      <c r="C41" s="19"/>
      <c r="D41" s="59"/>
      <c r="E41" s="19"/>
      <c r="G41" s="22"/>
      <c r="H41" s="23"/>
      <c r="I41" s="23"/>
      <c r="J41" s="23"/>
      <c r="K41" s="23"/>
      <c r="L41" s="23"/>
      <c r="M41" s="23"/>
      <c r="N41" s="23"/>
      <c r="O41" s="23"/>
      <c r="P41" s="23"/>
      <c r="Q41" s="23"/>
      <c r="R41" s="23"/>
      <c r="S41" s="23"/>
      <c r="T41" s="23"/>
      <c r="U41" s="23"/>
      <c r="V41" s="23"/>
      <c r="W41" s="23"/>
      <c r="X41" s="23"/>
      <c r="Y41" s="23"/>
      <c r="Z41" s="23"/>
      <c r="AA41" s="23"/>
      <c r="AB41" s="23"/>
      <c r="AC41" s="23"/>
      <c r="AD41" s="23"/>
      <c r="AE41" s="23"/>
      <c r="AF41" s="23"/>
      <c r="AG41" s="23"/>
      <c r="AH41" s="23"/>
      <c r="AI41" s="23"/>
      <c r="AJ41" s="23"/>
      <c r="AK41" s="25"/>
      <c r="AL41" s="28"/>
      <c r="AM41" s="23"/>
      <c r="AN41" s="23"/>
      <c r="AO41" s="23"/>
      <c r="AP41" s="23"/>
      <c r="AQ41" s="23"/>
      <c r="AR41" s="23"/>
      <c r="AS41" s="23"/>
      <c r="AT41" s="23"/>
      <c r="AU41" s="23"/>
      <c r="AV41" s="23"/>
      <c r="AW41" s="23"/>
      <c r="AX41" s="23"/>
      <c r="AY41" s="23"/>
      <c r="AZ41" s="23"/>
      <c r="BA41" s="23"/>
      <c r="BB41" s="23"/>
      <c r="BC41" s="23"/>
      <c r="BD41" s="23"/>
      <c r="BE41" s="23"/>
      <c r="BF41" s="23"/>
      <c r="BG41" s="23"/>
      <c r="BH41" s="23"/>
      <c r="BI41" s="23"/>
      <c r="BJ41" s="23"/>
      <c r="BK41" s="23"/>
      <c r="BL41" s="23"/>
      <c r="BM41" s="25"/>
      <c r="BN41" s="35"/>
      <c r="BO41" s="36"/>
      <c r="BP41" s="36"/>
      <c r="BQ41" s="36"/>
      <c r="BR41" s="36"/>
      <c r="BS41" s="36"/>
      <c r="BT41" s="36"/>
      <c r="BU41" s="36"/>
      <c r="BV41" s="36"/>
      <c r="BW41" s="36"/>
      <c r="BX41" s="36"/>
      <c r="BY41" s="36"/>
      <c r="BZ41" s="36"/>
      <c r="CA41" s="36"/>
      <c r="CB41" s="36"/>
      <c r="CC41" s="36"/>
      <c r="CD41" s="36"/>
      <c r="CE41" s="36"/>
      <c r="CF41" s="36"/>
      <c r="CG41" s="36"/>
      <c r="CH41" s="36"/>
      <c r="CI41" s="36"/>
      <c r="CJ41" s="36"/>
      <c r="CK41" s="36"/>
      <c r="CL41" s="36"/>
      <c r="CM41" s="36"/>
      <c r="CN41" s="36"/>
      <c r="CO41" s="36"/>
      <c r="CP41" s="36"/>
      <c r="CQ41" s="36"/>
      <c r="CR41" s="40"/>
      <c r="CS41" s="44"/>
      <c r="CT41" s="36"/>
      <c r="CU41" s="36"/>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c r="DV41" s="40"/>
      <c r="DW41" s="52"/>
      <c r="DX41" s="36"/>
      <c r="DY41" s="36"/>
      <c r="DZ41" s="36"/>
      <c r="EA41" s="36"/>
      <c r="EB41" s="36"/>
      <c r="EC41" s="36"/>
      <c r="ED41" s="36"/>
      <c r="EE41" s="36"/>
      <c r="EF41" s="36"/>
      <c r="EG41" s="36"/>
      <c r="EH41" s="36"/>
      <c r="EI41" s="36"/>
      <c r="EJ41" s="36"/>
      <c r="EK41" s="36"/>
      <c r="EL41" s="36"/>
      <c r="EM41" s="36"/>
      <c r="EN41" s="36"/>
      <c r="EO41" s="36"/>
      <c r="EP41" s="36"/>
      <c r="EQ41" s="36"/>
      <c r="ER41" s="36"/>
      <c r="ES41" s="36"/>
      <c r="ET41" s="36"/>
      <c r="EU41" s="36"/>
      <c r="EV41" s="36"/>
      <c r="EW41" s="36"/>
      <c r="EX41" s="36"/>
      <c r="EY41" s="36"/>
      <c r="EZ41" s="36"/>
      <c r="FA41" s="53"/>
    </row>
    <row r="42" spans="1:157" x14ac:dyDescent="0.2">
      <c r="A42" s="18"/>
      <c r="B42" s="18"/>
      <c r="C42" s="19"/>
      <c r="D42" s="59"/>
      <c r="E42" s="19"/>
      <c r="G42" s="22"/>
      <c r="H42" s="23"/>
      <c r="I42" s="23"/>
      <c r="J42" s="23"/>
      <c r="K42" s="23"/>
      <c r="L42" s="23"/>
      <c r="M42" s="23"/>
      <c r="N42" s="23"/>
      <c r="O42" s="23"/>
      <c r="P42" s="23"/>
      <c r="Q42" s="23"/>
      <c r="R42" s="23"/>
      <c r="S42" s="23"/>
      <c r="T42" s="23"/>
      <c r="U42" s="23"/>
      <c r="V42" s="23"/>
      <c r="W42" s="23"/>
      <c r="X42" s="23"/>
      <c r="Y42" s="23"/>
      <c r="Z42" s="23"/>
      <c r="AA42" s="23"/>
      <c r="AB42" s="23"/>
      <c r="AC42" s="23"/>
      <c r="AD42" s="23"/>
      <c r="AE42" s="23"/>
      <c r="AF42" s="23"/>
      <c r="AG42" s="23"/>
      <c r="AH42" s="23"/>
      <c r="AI42" s="23"/>
      <c r="AJ42" s="23"/>
      <c r="AK42" s="25"/>
      <c r="AL42" s="28"/>
      <c r="AM42" s="23"/>
      <c r="AN42" s="23"/>
      <c r="AO42" s="23"/>
      <c r="AP42" s="23"/>
      <c r="AQ42" s="23"/>
      <c r="AR42" s="23"/>
      <c r="AS42" s="23"/>
      <c r="AT42" s="23"/>
      <c r="AU42" s="23"/>
      <c r="AV42" s="23"/>
      <c r="AW42" s="23"/>
      <c r="AX42" s="23"/>
      <c r="AY42" s="23"/>
      <c r="AZ42" s="23"/>
      <c r="BA42" s="23"/>
      <c r="BB42" s="23"/>
      <c r="BC42" s="23"/>
      <c r="BD42" s="23"/>
      <c r="BE42" s="23"/>
      <c r="BF42" s="23"/>
      <c r="BG42" s="23"/>
      <c r="BH42" s="23"/>
      <c r="BI42" s="23"/>
      <c r="BJ42" s="23"/>
      <c r="BK42" s="23"/>
      <c r="BL42" s="23"/>
      <c r="BM42" s="25"/>
      <c r="BN42" s="35"/>
      <c r="BO42" s="36"/>
      <c r="BP42" s="36"/>
      <c r="BQ42" s="36"/>
      <c r="BR42" s="36"/>
      <c r="BS42" s="36"/>
      <c r="BT42" s="36"/>
      <c r="BU42" s="36"/>
      <c r="BV42" s="36"/>
      <c r="BW42" s="36"/>
      <c r="BX42" s="36"/>
      <c r="BY42" s="36"/>
      <c r="BZ42" s="36"/>
      <c r="CA42" s="36"/>
      <c r="CB42" s="36"/>
      <c r="CC42" s="36"/>
      <c r="CD42" s="36"/>
      <c r="CE42" s="36"/>
      <c r="CF42" s="36"/>
      <c r="CG42" s="36"/>
      <c r="CH42" s="36"/>
      <c r="CI42" s="36"/>
      <c r="CJ42" s="36"/>
      <c r="CK42" s="36"/>
      <c r="CL42" s="36"/>
      <c r="CM42" s="36"/>
      <c r="CN42" s="36"/>
      <c r="CO42" s="36"/>
      <c r="CP42" s="36"/>
      <c r="CQ42" s="36"/>
      <c r="CR42" s="40"/>
      <c r="CS42" s="44"/>
      <c r="CT42" s="36"/>
      <c r="CU42" s="36"/>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c r="DV42" s="40"/>
      <c r="DW42" s="52"/>
      <c r="DX42" s="36"/>
      <c r="DY42" s="36"/>
      <c r="DZ42" s="36"/>
      <c r="EA42" s="36"/>
      <c r="EB42" s="36"/>
      <c r="EC42" s="36"/>
      <c r="ED42" s="36"/>
      <c r="EE42" s="36"/>
      <c r="EF42" s="36"/>
      <c r="EG42" s="36"/>
      <c r="EH42" s="36"/>
      <c r="EI42" s="36"/>
      <c r="EJ42" s="36"/>
      <c r="EK42" s="36"/>
      <c r="EL42" s="36"/>
      <c r="EM42" s="36"/>
      <c r="EN42" s="36"/>
      <c r="EO42" s="36"/>
      <c r="EP42" s="36"/>
      <c r="EQ42" s="36"/>
      <c r="ER42" s="36"/>
      <c r="ES42" s="36"/>
      <c r="ET42" s="36"/>
      <c r="EU42" s="36"/>
      <c r="EV42" s="36"/>
      <c r="EW42" s="36"/>
      <c r="EX42" s="36"/>
      <c r="EY42" s="36"/>
      <c r="EZ42" s="36"/>
      <c r="FA42" s="53"/>
    </row>
    <row r="43" spans="1:157" x14ac:dyDescent="0.2">
      <c r="A43" s="18"/>
      <c r="B43" s="18"/>
      <c r="C43" s="19"/>
      <c r="D43" s="59"/>
      <c r="E43" s="19"/>
      <c r="G43" s="22"/>
      <c r="H43" s="23"/>
      <c r="I43" s="23"/>
      <c r="J43" s="23"/>
      <c r="K43" s="23"/>
      <c r="L43" s="23"/>
      <c r="M43" s="23"/>
      <c r="N43" s="23"/>
      <c r="O43" s="23"/>
      <c r="P43" s="23"/>
      <c r="Q43" s="23"/>
      <c r="R43" s="23"/>
      <c r="S43" s="23"/>
      <c r="T43" s="23"/>
      <c r="U43" s="23"/>
      <c r="V43" s="23"/>
      <c r="W43" s="23"/>
      <c r="X43" s="23"/>
      <c r="Y43" s="23"/>
      <c r="Z43" s="23"/>
      <c r="AA43" s="23"/>
      <c r="AB43" s="23"/>
      <c r="AC43" s="23"/>
      <c r="AD43" s="23"/>
      <c r="AE43" s="23"/>
      <c r="AF43" s="23"/>
      <c r="AG43" s="23"/>
      <c r="AH43" s="23"/>
      <c r="AI43" s="23"/>
      <c r="AJ43" s="23"/>
      <c r="AK43" s="25"/>
      <c r="AL43" s="28"/>
      <c r="AM43" s="23"/>
      <c r="AN43" s="23"/>
      <c r="AO43" s="23"/>
      <c r="AP43" s="23"/>
      <c r="AQ43" s="23"/>
      <c r="AR43" s="23"/>
      <c r="AS43" s="23"/>
      <c r="AT43" s="23"/>
      <c r="AU43" s="23"/>
      <c r="AV43" s="23"/>
      <c r="AW43" s="23"/>
      <c r="AX43" s="23"/>
      <c r="AY43" s="23"/>
      <c r="AZ43" s="23"/>
      <c r="BA43" s="23"/>
      <c r="BB43" s="23"/>
      <c r="BC43" s="23"/>
      <c r="BD43" s="23"/>
      <c r="BE43" s="23"/>
      <c r="BF43" s="23"/>
      <c r="BG43" s="23"/>
      <c r="BH43" s="23"/>
      <c r="BI43" s="23"/>
      <c r="BJ43" s="23"/>
      <c r="BK43" s="23"/>
      <c r="BL43" s="23"/>
      <c r="BM43" s="25"/>
      <c r="BN43" s="35"/>
      <c r="BO43" s="36"/>
      <c r="BP43" s="36"/>
      <c r="BQ43" s="36"/>
      <c r="BR43" s="36"/>
      <c r="BS43" s="36"/>
      <c r="BT43" s="36"/>
      <c r="BU43" s="36"/>
      <c r="BV43" s="36"/>
      <c r="BW43" s="36"/>
      <c r="BX43" s="36"/>
      <c r="BY43" s="36"/>
      <c r="BZ43" s="36"/>
      <c r="CA43" s="36"/>
      <c r="CB43" s="36"/>
      <c r="CC43" s="36"/>
      <c r="CD43" s="36"/>
      <c r="CE43" s="36"/>
      <c r="CF43" s="36"/>
      <c r="CG43" s="36"/>
      <c r="CH43" s="36"/>
      <c r="CI43" s="36"/>
      <c r="CJ43" s="36"/>
      <c r="CK43" s="36"/>
      <c r="CL43" s="36"/>
      <c r="CM43" s="36"/>
      <c r="CN43" s="36"/>
      <c r="CO43" s="36"/>
      <c r="CP43" s="36"/>
      <c r="CQ43" s="36"/>
      <c r="CR43" s="40"/>
      <c r="CS43" s="44"/>
      <c r="CT43" s="36"/>
      <c r="CU43" s="36"/>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c r="DV43" s="40"/>
      <c r="DW43" s="52"/>
      <c r="DX43" s="36"/>
      <c r="DY43" s="36"/>
      <c r="DZ43" s="36"/>
      <c r="EA43" s="36"/>
      <c r="EB43" s="36"/>
      <c r="EC43" s="36"/>
      <c r="ED43" s="36"/>
      <c r="EE43" s="36"/>
      <c r="EF43" s="36"/>
      <c r="EG43" s="36"/>
      <c r="EH43" s="36"/>
      <c r="EI43" s="36"/>
      <c r="EJ43" s="36"/>
      <c r="EK43" s="36"/>
      <c r="EL43" s="36"/>
      <c r="EM43" s="36"/>
      <c r="EN43" s="36"/>
      <c r="EO43" s="36"/>
      <c r="EP43" s="36"/>
      <c r="EQ43" s="36"/>
      <c r="ER43" s="36"/>
      <c r="ES43" s="36"/>
      <c r="ET43" s="36"/>
      <c r="EU43" s="36"/>
      <c r="EV43" s="36"/>
      <c r="EW43" s="36"/>
      <c r="EX43" s="36"/>
      <c r="EY43" s="36"/>
      <c r="EZ43" s="36"/>
      <c r="FA43" s="53"/>
    </row>
    <row r="44" spans="1:157" x14ac:dyDescent="0.2">
      <c r="A44" s="18"/>
      <c r="B44" s="18"/>
      <c r="C44" s="19"/>
      <c r="D44" s="59"/>
      <c r="E44" s="19"/>
      <c r="G44" s="22"/>
      <c r="H44" s="23"/>
      <c r="I44" s="23"/>
      <c r="J44" s="23"/>
      <c r="K44" s="23"/>
      <c r="L44" s="23"/>
      <c r="M44" s="23"/>
      <c r="N44" s="23"/>
      <c r="O44" s="23"/>
      <c r="P44" s="23"/>
      <c r="Q44" s="23"/>
      <c r="R44" s="23"/>
      <c r="S44" s="23"/>
      <c r="T44" s="23"/>
      <c r="U44" s="23"/>
      <c r="V44" s="23"/>
      <c r="W44" s="23"/>
      <c r="X44" s="23"/>
      <c r="Y44" s="23"/>
      <c r="Z44" s="23"/>
      <c r="AA44" s="23"/>
      <c r="AB44" s="23"/>
      <c r="AC44" s="23"/>
      <c r="AD44" s="23"/>
      <c r="AE44" s="23"/>
      <c r="AF44" s="23"/>
      <c r="AG44" s="23"/>
      <c r="AH44" s="23"/>
      <c r="AI44" s="23"/>
      <c r="AJ44" s="23"/>
      <c r="AK44" s="25"/>
      <c r="AL44" s="28"/>
      <c r="AM44" s="23"/>
      <c r="AN44" s="23"/>
      <c r="AO44" s="23"/>
      <c r="AP44" s="23"/>
      <c r="AQ44" s="23"/>
      <c r="AR44" s="23"/>
      <c r="AS44" s="23"/>
      <c r="AT44" s="23"/>
      <c r="AU44" s="23"/>
      <c r="AV44" s="23"/>
      <c r="AW44" s="23"/>
      <c r="AX44" s="23"/>
      <c r="AY44" s="23"/>
      <c r="AZ44" s="23"/>
      <c r="BA44" s="23"/>
      <c r="BB44" s="23"/>
      <c r="BC44" s="23"/>
      <c r="BD44" s="23"/>
      <c r="BE44" s="23"/>
      <c r="BF44" s="23"/>
      <c r="BG44" s="23"/>
      <c r="BH44" s="23"/>
      <c r="BI44" s="23"/>
      <c r="BJ44" s="23"/>
      <c r="BK44" s="23"/>
      <c r="BL44" s="23"/>
      <c r="BM44" s="25"/>
      <c r="BN44" s="35"/>
      <c r="BO44" s="36"/>
      <c r="BP44" s="36"/>
      <c r="BQ44" s="36"/>
      <c r="BR44" s="36"/>
      <c r="BS44" s="36"/>
      <c r="BT44" s="36"/>
      <c r="BU44" s="36"/>
      <c r="BV44" s="36"/>
      <c r="BW44" s="36"/>
      <c r="BX44" s="36"/>
      <c r="BY44" s="36"/>
      <c r="BZ44" s="36"/>
      <c r="CA44" s="36"/>
      <c r="CB44" s="36"/>
      <c r="CC44" s="36"/>
      <c r="CD44" s="36"/>
      <c r="CE44" s="36"/>
      <c r="CF44" s="36"/>
      <c r="CG44" s="36"/>
      <c r="CH44" s="36"/>
      <c r="CI44" s="36"/>
      <c r="CJ44" s="36"/>
      <c r="CK44" s="36"/>
      <c r="CL44" s="36"/>
      <c r="CM44" s="36"/>
      <c r="CN44" s="36"/>
      <c r="CO44" s="36"/>
      <c r="CP44" s="36"/>
      <c r="CQ44" s="36"/>
      <c r="CR44" s="40"/>
      <c r="CS44" s="44"/>
      <c r="CT44" s="36"/>
      <c r="CU44" s="36"/>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c r="DV44" s="40"/>
      <c r="DW44" s="52"/>
      <c r="DX44" s="36"/>
      <c r="DY44" s="36"/>
      <c r="DZ44" s="36"/>
      <c r="EA44" s="36"/>
      <c r="EB44" s="36"/>
      <c r="EC44" s="36"/>
      <c r="ED44" s="36"/>
      <c r="EE44" s="36"/>
      <c r="EF44" s="36"/>
      <c r="EG44" s="36"/>
      <c r="EH44" s="36"/>
      <c r="EI44" s="36"/>
      <c r="EJ44" s="36"/>
      <c r="EK44" s="36"/>
      <c r="EL44" s="36"/>
      <c r="EM44" s="36"/>
      <c r="EN44" s="36"/>
      <c r="EO44" s="36"/>
      <c r="EP44" s="36"/>
      <c r="EQ44" s="36"/>
      <c r="ER44" s="36"/>
      <c r="ES44" s="36"/>
      <c r="ET44" s="36"/>
      <c r="EU44" s="36"/>
      <c r="EV44" s="36"/>
      <c r="EW44" s="36"/>
      <c r="EX44" s="36"/>
      <c r="EY44" s="36"/>
      <c r="EZ44" s="36"/>
      <c r="FA44" s="53"/>
    </row>
    <row r="45" spans="1:157" x14ac:dyDescent="0.2">
      <c r="A45" s="18"/>
      <c r="B45" s="18"/>
      <c r="C45" s="19"/>
      <c r="D45" s="59"/>
      <c r="E45" s="19"/>
      <c r="G45" s="22"/>
      <c r="H45" s="23"/>
      <c r="I45" s="23"/>
      <c r="J45" s="23"/>
      <c r="K45" s="23"/>
      <c r="L45" s="23"/>
      <c r="M45" s="23"/>
      <c r="N45" s="23"/>
      <c r="O45" s="23"/>
      <c r="P45" s="23"/>
      <c r="Q45" s="23"/>
      <c r="R45" s="23"/>
      <c r="S45" s="23"/>
      <c r="T45" s="23"/>
      <c r="U45" s="23"/>
      <c r="V45" s="23"/>
      <c r="W45" s="23"/>
      <c r="X45" s="23"/>
      <c r="Y45" s="23"/>
      <c r="Z45" s="23"/>
      <c r="AA45" s="23"/>
      <c r="AB45" s="23"/>
      <c r="AC45" s="23"/>
      <c r="AD45" s="23"/>
      <c r="AE45" s="23"/>
      <c r="AF45" s="23"/>
      <c r="AG45" s="23"/>
      <c r="AH45" s="23"/>
      <c r="AI45" s="23"/>
      <c r="AJ45" s="23"/>
      <c r="AK45" s="25"/>
      <c r="AL45" s="28"/>
      <c r="AM45" s="23"/>
      <c r="AN45" s="23"/>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5"/>
      <c r="BN45" s="35"/>
      <c r="BO45" s="36"/>
      <c r="BP45" s="36"/>
      <c r="BQ45" s="36"/>
      <c r="BR45" s="36"/>
      <c r="BS45" s="36"/>
      <c r="BT45" s="36"/>
      <c r="BU45" s="36"/>
      <c r="BV45" s="36"/>
      <c r="BW45" s="36"/>
      <c r="BX45" s="36"/>
      <c r="BY45" s="36"/>
      <c r="BZ45" s="36"/>
      <c r="CA45" s="36"/>
      <c r="CB45" s="36"/>
      <c r="CC45" s="36"/>
      <c r="CD45" s="36"/>
      <c r="CE45" s="36"/>
      <c r="CF45" s="36"/>
      <c r="CG45" s="36"/>
      <c r="CH45" s="36"/>
      <c r="CI45" s="36"/>
      <c r="CJ45" s="36"/>
      <c r="CK45" s="36"/>
      <c r="CL45" s="36"/>
      <c r="CM45" s="36"/>
      <c r="CN45" s="36"/>
      <c r="CO45" s="36"/>
      <c r="CP45" s="36"/>
      <c r="CQ45" s="36"/>
      <c r="CR45" s="40"/>
      <c r="CS45" s="44"/>
      <c r="CT45" s="36"/>
      <c r="CU45" s="36"/>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c r="DV45" s="40"/>
      <c r="DW45" s="52"/>
      <c r="DX45" s="36"/>
      <c r="DY45" s="36"/>
      <c r="DZ45" s="36"/>
      <c r="EA45" s="36"/>
      <c r="EB45" s="36"/>
      <c r="EC45" s="36"/>
      <c r="ED45" s="36"/>
      <c r="EE45" s="36"/>
      <c r="EF45" s="36"/>
      <c r="EG45" s="36"/>
      <c r="EH45" s="36"/>
      <c r="EI45" s="36"/>
      <c r="EJ45" s="36"/>
      <c r="EK45" s="36"/>
      <c r="EL45" s="36"/>
      <c r="EM45" s="36"/>
      <c r="EN45" s="36"/>
      <c r="EO45" s="36"/>
      <c r="EP45" s="36"/>
      <c r="EQ45" s="36"/>
      <c r="ER45" s="36"/>
      <c r="ES45" s="36"/>
      <c r="ET45" s="36"/>
      <c r="EU45" s="36"/>
      <c r="EV45" s="36"/>
      <c r="EW45" s="36"/>
      <c r="EX45" s="36"/>
      <c r="EY45" s="36"/>
      <c r="EZ45" s="36"/>
      <c r="FA45" s="53"/>
    </row>
    <row r="46" spans="1:157" x14ac:dyDescent="0.2">
      <c r="A46" s="18"/>
      <c r="B46" s="18"/>
      <c r="C46" s="19"/>
      <c r="D46" s="59"/>
      <c r="E46" s="19"/>
      <c r="G46" s="22"/>
      <c r="H46" s="23"/>
      <c r="I46" s="23"/>
      <c r="J46" s="23"/>
      <c r="K46" s="23"/>
      <c r="L46" s="23"/>
      <c r="M46" s="23"/>
      <c r="N46" s="23"/>
      <c r="O46" s="23"/>
      <c r="P46" s="23"/>
      <c r="Q46" s="23"/>
      <c r="R46" s="23"/>
      <c r="S46" s="23"/>
      <c r="T46" s="23"/>
      <c r="U46" s="23"/>
      <c r="V46" s="23"/>
      <c r="W46" s="23"/>
      <c r="X46" s="23"/>
      <c r="Y46" s="23"/>
      <c r="Z46" s="23"/>
      <c r="AA46" s="23"/>
      <c r="AB46" s="23"/>
      <c r="AC46" s="23"/>
      <c r="AD46" s="23"/>
      <c r="AE46" s="23"/>
      <c r="AF46" s="23"/>
      <c r="AG46" s="23"/>
      <c r="AH46" s="23"/>
      <c r="AI46" s="23"/>
      <c r="AJ46" s="23"/>
      <c r="AK46" s="25"/>
      <c r="AL46" s="28"/>
      <c r="AM46" s="23"/>
      <c r="AN46" s="23"/>
      <c r="AO46" s="23"/>
      <c r="AP46" s="23"/>
      <c r="AQ46" s="23"/>
      <c r="AR46" s="23"/>
      <c r="AS46" s="23"/>
      <c r="AT46" s="23"/>
      <c r="AU46" s="23"/>
      <c r="AV46" s="23"/>
      <c r="AW46" s="23"/>
      <c r="AX46" s="23"/>
      <c r="AY46" s="23"/>
      <c r="AZ46" s="23"/>
      <c r="BA46" s="23"/>
      <c r="BB46" s="23"/>
      <c r="BC46" s="23"/>
      <c r="BD46" s="23"/>
      <c r="BE46" s="23"/>
      <c r="BF46" s="23"/>
      <c r="BG46" s="23"/>
      <c r="BH46" s="23"/>
      <c r="BI46" s="23"/>
      <c r="BJ46" s="23"/>
      <c r="BK46" s="23"/>
      <c r="BL46" s="23"/>
      <c r="BM46" s="25"/>
      <c r="BN46" s="35"/>
      <c r="BO46" s="36"/>
      <c r="BP46" s="36"/>
      <c r="BQ46" s="36"/>
      <c r="BR46" s="36"/>
      <c r="BS46" s="36"/>
      <c r="BT46" s="36"/>
      <c r="BU46" s="36"/>
      <c r="BV46" s="36"/>
      <c r="BW46" s="36"/>
      <c r="BX46" s="36"/>
      <c r="BY46" s="36"/>
      <c r="BZ46" s="36"/>
      <c r="CA46" s="36"/>
      <c r="CB46" s="36"/>
      <c r="CC46" s="36"/>
      <c r="CD46" s="36"/>
      <c r="CE46" s="36"/>
      <c r="CF46" s="36"/>
      <c r="CG46" s="36"/>
      <c r="CH46" s="36"/>
      <c r="CI46" s="36"/>
      <c r="CJ46" s="36"/>
      <c r="CK46" s="36"/>
      <c r="CL46" s="36"/>
      <c r="CM46" s="36"/>
      <c r="CN46" s="36"/>
      <c r="CO46" s="36"/>
      <c r="CP46" s="36"/>
      <c r="CQ46" s="36"/>
      <c r="CR46" s="40"/>
      <c r="CS46" s="44"/>
      <c r="CT46" s="36"/>
      <c r="CU46" s="36"/>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c r="DV46" s="40"/>
      <c r="DW46" s="52"/>
      <c r="DX46" s="36"/>
      <c r="DY46" s="36"/>
      <c r="DZ46" s="36"/>
      <c r="EA46" s="36"/>
      <c r="EB46" s="36"/>
      <c r="EC46" s="36"/>
      <c r="ED46" s="36"/>
      <c r="EE46" s="36"/>
      <c r="EF46" s="36"/>
      <c r="EG46" s="36"/>
      <c r="EH46" s="36"/>
      <c r="EI46" s="36"/>
      <c r="EJ46" s="36"/>
      <c r="EK46" s="36"/>
      <c r="EL46" s="36"/>
      <c r="EM46" s="36"/>
      <c r="EN46" s="36"/>
      <c r="EO46" s="36"/>
      <c r="EP46" s="36"/>
      <c r="EQ46" s="36"/>
      <c r="ER46" s="36"/>
      <c r="ES46" s="36"/>
      <c r="ET46" s="36"/>
      <c r="EU46" s="36"/>
      <c r="EV46" s="36"/>
      <c r="EW46" s="36"/>
      <c r="EX46" s="36"/>
      <c r="EY46" s="36"/>
      <c r="EZ46" s="36"/>
      <c r="FA46" s="53"/>
    </row>
    <row r="47" spans="1:157" x14ac:dyDescent="0.2">
      <c r="A47" s="18"/>
      <c r="B47" s="18"/>
      <c r="C47" s="19"/>
      <c r="D47" s="59"/>
      <c r="E47" s="19"/>
      <c r="G47" s="22"/>
      <c r="H47" s="23"/>
      <c r="I47" s="23"/>
      <c r="J47" s="23"/>
      <c r="K47" s="23"/>
      <c r="L47" s="23"/>
      <c r="M47" s="23"/>
      <c r="N47" s="23"/>
      <c r="O47" s="23"/>
      <c r="P47" s="23"/>
      <c r="Q47" s="23"/>
      <c r="R47" s="23"/>
      <c r="S47" s="23"/>
      <c r="T47" s="23"/>
      <c r="U47" s="23"/>
      <c r="V47" s="23"/>
      <c r="W47" s="23"/>
      <c r="X47" s="23"/>
      <c r="Y47" s="23"/>
      <c r="Z47" s="23"/>
      <c r="AA47" s="23"/>
      <c r="AB47" s="23"/>
      <c r="AC47" s="23"/>
      <c r="AD47" s="23"/>
      <c r="AE47" s="23"/>
      <c r="AF47" s="23"/>
      <c r="AG47" s="23"/>
      <c r="AH47" s="23"/>
      <c r="AI47" s="23"/>
      <c r="AJ47" s="23"/>
      <c r="AK47" s="25"/>
      <c r="AL47" s="28"/>
      <c r="AM47" s="23"/>
      <c r="AN47" s="23"/>
      <c r="AO47" s="23"/>
      <c r="AP47" s="23"/>
      <c r="AQ47" s="23"/>
      <c r="AR47" s="23"/>
      <c r="AS47" s="23"/>
      <c r="AT47" s="23"/>
      <c r="AU47" s="23"/>
      <c r="AV47" s="23"/>
      <c r="AW47" s="23"/>
      <c r="AX47" s="23"/>
      <c r="AY47" s="23"/>
      <c r="AZ47" s="23"/>
      <c r="BA47" s="23"/>
      <c r="BB47" s="23"/>
      <c r="BC47" s="23"/>
      <c r="BD47" s="23"/>
      <c r="BE47" s="23"/>
      <c r="BF47" s="23"/>
      <c r="BG47" s="23"/>
      <c r="BH47" s="23"/>
      <c r="BI47" s="23"/>
      <c r="BJ47" s="23"/>
      <c r="BK47" s="23"/>
      <c r="BL47" s="23"/>
      <c r="BM47" s="25"/>
      <c r="BN47" s="35"/>
      <c r="BO47" s="36"/>
      <c r="BP47" s="36"/>
      <c r="BQ47" s="36"/>
      <c r="BR47" s="36"/>
      <c r="BS47" s="36"/>
      <c r="BT47" s="36"/>
      <c r="BU47" s="36"/>
      <c r="BV47" s="36"/>
      <c r="BW47" s="36"/>
      <c r="BX47" s="36"/>
      <c r="BY47" s="36"/>
      <c r="BZ47" s="36"/>
      <c r="CA47" s="36"/>
      <c r="CB47" s="36"/>
      <c r="CC47" s="36"/>
      <c r="CD47" s="36"/>
      <c r="CE47" s="36"/>
      <c r="CF47" s="36"/>
      <c r="CG47" s="36"/>
      <c r="CH47" s="36"/>
      <c r="CI47" s="36"/>
      <c r="CJ47" s="36"/>
      <c r="CK47" s="36"/>
      <c r="CL47" s="36"/>
      <c r="CM47" s="36"/>
      <c r="CN47" s="36"/>
      <c r="CO47" s="36"/>
      <c r="CP47" s="36"/>
      <c r="CQ47" s="36"/>
      <c r="CR47" s="40"/>
      <c r="CS47" s="44"/>
      <c r="CT47" s="36"/>
      <c r="CU47" s="36"/>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c r="DV47" s="40"/>
      <c r="DW47" s="52"/>
      <c r="DX47" s="36"/>
      <c r="DY47" s="36"/>
      <c r="DZ47" s="36"/>
      <c r="EA47" s="36"/>
      <c r="EB47" s="36"/>
      <c r="EC47" s="36"/>
      <c r="ED47" s="36"/>
      <c r="EE47" s="36"/>
      <c r="EF47" s="36"/>
      <c r="EG47" s="36"/>
      <c r="EH47" s="36"/>
      <c r="EI47" s="36"/>
      <c r="EJ47" s="36"/>
      <c r="EK47" s="36"/>
      <c r="EL47" s="36"/>
      <c r="EM47" s="36"/>
      <c r="EN47" s="36"/>
      <c r="EO47" s="36"/>
      <c r="EP47" s="36"/>
      <c r="EQ47" s="36"/>
      <c r="ER47" s="36"/>
      <c r="ES47" s="36"/>
      <c r="ET47" s="36"/>
      <c r="EU47" s="36"/>
      <c r="EV47" s="36"/>
      <c r="EW47" s="36"/>
      <c r="EX47" s="36"/>
      <c r="EY47" s="36"/>
      <c r="EZ47" s="36"/>
      <c r="FA47" s="53"/>
    </row>
    <row r="48" spans="1:157" x14ac:dyDescent="0.2">
      <c r="A48" s="18"/>
      <c r="B48" s="18"/>
      <c r="C48" s="19"/>
      <c r="D48" s="59"/>
      <c r="E48" s="19"/>
      <c r="G48" s="22"/>
      <c r="H48" s="23"/>
      <c r="I48" s="23"/>
      <c r="J48" s="23"/>
      <c r="K48" s="23"/>
      <c r="L48" s="23"/>
      <c r="M48" s="23"/>
      <c r="N48" s="23"/>
      <c r="O48" s="23"/>
      <c r="P48" s="23"/>
      <c r="Q48" s="23"/>
      <c r="R48" s="23"/>
      <c r="S48" s="23"/>
      <c r="T48" s="23"/>
      <c r="U48" s="23"/>
      <c r="V48" s="23"/>
      <c r="W48" s="23"/>
      <c r="X48" s="23"/>
      <c r="Y48" s="23"/>
      <c r="Z48" s="23"/>
      <c r="AA48" s="23"/>
      <c r="AB48" s="23"/>
      <c r="AC48" s="23"/>
      <c r="AD48" s="23"/>
      <c r="AE48" s="23"/>
      <c r="AF48" s="23"/>
      <c r="AG48" s="23"/>
      <c r="AH48" s="23"/>
      <c r="AI48" s="23"/>
      <c r="AJ48" s="23"/>
      <c r="AK48" s="25"/>
      <c r="AL48" s="28"/>
      <c r="AM48" s="23"/>
      <c r="AN48" s="23"/>
      <c r="AO48" s="23"/>
      <c r="AP48" s="23"/>
      <c r="AQ48" s="23"/>
      <c r="AR48" s="23"/>
      <c r="AS48" s="23"/>
      <c r="AT48" s="23"/>
      <c r="AU48" s="23"/>
      <c r="AV48" s="23"/>
      <c r="AW48" s="23"/>
      <c r="AX48" s="23"/>
      <c r="AY48" s="23"/>
      <c r="AZ48" s="23"/>
      <c r="BA48" s="23"/>
      <c r="BB48" s="23"/>
      <c r="BC48" s="23"/>
      <c r="BD48" s="23"/>
      <c r="BE48" s="23"/>
      <c r="BF48" s="23"/>
      <c r="BG48" s="23"/>
      <c r="BH48" s="23"/>
      <c r="BI48" s="23"/>
      <c r="BJ48" s="23"/>
      <c r="BK48" s="23"/>
      <c r="BL48" s="23"/>
      <c r="BM48" s="25"/>
      <c r="BN48" s="35"/>
      <c r="BO48" s="36"/>
      <c r="BP48" s="36"/>
      <c r="BQ48" s="36"/>
      <c r="BR48" s="36"/>
      <c r="BS48" s="36"/>
      <c r="BT48" s="36"/>
      <c r="BU48" s="36"/>
      <c r="BV48" s="36"/>
      <c r="BW48" s="36"/>
      <c r="BX48" s="36"/>
      <c r="BY48" s="36"/>
      <c r="BZ48" s="36"/>
      <c r="CA48" s="36"/>
      <c r="CB48" s="36"/>
      <c r="CC48" s="36"/>
      <c r="CD48" s="36"/>
      <c r="CE48" s="36"/>
      <c r="CF48" s="36"/>
      <c r="CG48" s="36"/>
      <c r="CH48" s="36"/>
      <c r="CI48" s="36"/>
      <c r="CJ48" s="36"/>
      <c r="CK48" s="36"/>
      <c r="CL48" s="36"/>
      <c r="CM48" s="36"/>
      <c r="CN48" s="36"/>
      <c r="CO48" s="36"/>
      <c r="CP48" s="36"/>
      <c r="CQ48" s="36"/>
      <c r="CR48" s="40"/>
      <c r="CS48" s="44"/>
      <c r="CT48" s="36"/>
      <c r="CU48" s="36"/>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c r="DV48" s="40"/>
      <c r="DW48" s="52"/>
      <c r="DX48" s="36"/>
      <c r="DY48" s="36"/>
      <c r="DZ48" s="36"/>
      <c r="EA48" s="36"/>
      <c r="EB48" s="36"/>
      <c r="EC48" s="36"/>
      <c r="ED48" s="36"/>
      <c r="EE48" s="36"/>
      <c r="EF48" s="36"/>
      <c r="EG48" s="36"/>
      <c r="EH48" s="36"/>
      <c r="EI48" s="36"/>
      <c r="EJ48" s="36"/>
      <c r="EK48" s="36"/>
      <c r="EL48" s="36"/>
      <c r="EM48" s="36"/>
      <c r="EN48" s="36"/>
      <c r="EO48" s="36"/>
      <c r="EP48" s="36"/>
      <c r="EQ48" s="36"/>
      <c r="ER48" s="36"/>
      <c r="ES48" s="36"/>
      <c r="ET48" s="36"/>
      <c r="EU48" s="36"/>
      <c r="EV48" s="36"/>
      <c r="EW48" s="36"/>
      <c r="EX48" s="36"/>
      <c r="EY48" s="36"/>
      <c r="EZ48" s="36"/>
      <c r="FA48" s="53"/>
    </row>
    <row r="49" spans="1:157" x14ac:dyDescent="0.2">
      <c r="A49" s="18"/>
      <c r="B49" s="18"/>
      <c r="C49" s="19"/>
      <c r="D49" s="59"/>
      <c r="E49" s="19"/>
      <c r="G49" s="22"/>
      <c r="H49" s="23"/>
      <c r="I49" s="23"/>
      <c r="J49" s="23"/>
      <c r="K49" s="23"/>
      <c r="L49" s="23"/>
      <c r="M49" s="23"/>
      <c r="N49" s="23"/>
      <c r="O49" s="23"/>
      <c r="P49" s="23"/>
      <c r="Q49" s="23"/>
      <c r="R49" s="23"/>
      <c r="S49" s="23"/>
      <c r="T49" s="23"/>
      <c r="U49" s="23"/>
      <c r="V49" s="23"/>
      <c r="W49" s="23"/>
      <c r="X49" s="23"/>
      <c r="Y49" s="23"/>
      <c r="Z49" s="23"/>
      <c r="AA49" s="23"/>
      <c r="AB49" s="23"/>
      <c r="AC49" s="23"/>
      <c r="AD49" s="23"/>
      <c r="AE49" s="23"/>
      <c r="AF49" s="23"/>
      <c r="AG49" s="23"/>
      <c r="AH49" s="23"/>
      <c r="AI49" s="23"/>
      <c r="AJ49" s="23"/>
      <c r="AK49" s="25"/>
      <c r="AL49" s="28"/>
      <c r="AM49" s="23"/>
      <c r="AN49" s="23"/>
      <c r="AO49" s="23"/>
      <c r="AP49" s="23"/>
      <c r="AQ49" s="23"/>
      <c r="AR49" s="23"/>
      <c r="AS49" s="23"/>
      <c r="AT49" s="23"/>
      <c r="AU49" s="23"/>
      <c r="AV49" s="23"/>
      <c r="AW49" s="23"/>
      <c r="AX49" s="23"/>
      <c r="AY49" s="23"/>
      <c r="AZ49" s="23"/>
      <c r="BA49" s="23"/>
      <c r="BB49" s="23"/>
      <c r="BC49" s="23"/>
      <c r="BD49" s="23"/>
      <c r="BE49" s="23"/>
      <c r="BF49" s="23"/>
      <c r="BG49" s="23"/>
      <c r="BH49" s="23"/>
      <c r="BI49" s="23"/>
      <c r="BJ49" s="23"/>
      <c r="BK49" s="23"/>
      <c r="BL49" s="23"/>
      <c r="BM49" s="25"/>
      <c r="BN49" s="35"/>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40"/>
      <c r="CS49" s="44"/>
      <c r="CT49" s="36"/>
      <c r="CU49" s="36"/>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c r="DV49" s="40"/>
      <c r="DW49" s="52"/>
      <c r="DX49" s="36"/>
      <c r="DY49" s="36"/>
      <c r="DZ49" s="36"/>
      <c r="EA49" s="36"/>
      <c r="EB49" s="36"/>
      <c r="EC49" s="36"/>
      <c r="ED49" s="36"/>
      <c r="EE49" s="36"/>
      <c r="EF49" s="36"/>
      <c r="EG49" s="36"/>
      <c r="EH49" s="36"/>
      <c r="EI49" s="36"/>
      <c r="EJ49" s="36"/>
      <c r="EK49" s="36"/>
      <c r="EL49" s="36"/>
      <c r="EM49" s="36"/>
      <c r="EN49" s="36"/>
      <c r="EO49" s="36"/>
      <c r="EP49" s="36"/>
      <c r="EQ49" s="36"/>
      <c r="ER49" s="36"/>
      <c r="ES49" s="36"/>
      <c r="ET49" s="36"/>
      <c r="EU49" s="36"/>
      <c r="EV49" s="36"/>
      <c r="EW49" s="36"/>
      <c r="EX49" s="36"/>
      <c r="EY49" s="36"/>
      <c r="EZ49" s="36"/>
      <c r="FA49" s="53"/>
    </row>
    <row r="50" spans="1:157" x14ac:dyDescent="0.2">
      <c r="A50" s="18"/>
      <c r="B50" s="18"/>
      <c r="C50" s="19"/>
      <c r="D50" s="59"/>
      <c r="E50" s="19"/>
      <c r="G50" s="22"/>
      <c r="H50" s="23"/>
      <c r="I50" s="23"/>
      <c r="J50" s="23"/>
      <c r="K50" s="23"/>
      <c r="L50" s="23"/>
      <c r="M50" s="23"/>
      <c r="N50" s="23"/>
      <c r="O50" s="23"/>
      <c r="P50" s="23"/>
      <c r="Q50" s="23"/>
      <c r="R50" s="23"/>
      <c r="S50" s="23"/>
      <c r="T50" s="23"/>
      <c r="U50" s="23"/>
      <c r="V50" s="23"/>
      <c r="W50" s="23"/>
      <c r="X50" s="23"/>
      <c r="Y50" s="23"/>
      <c r="Z50" s="23"/>
      <c r="AA50" s="23"/>
      <c r="AB50" s="23"/>
      <c r="AC50" s="23"/>
      <c r="AD50" s="23"/>
      <c r="AE50" s="23"/>
      <c r="AF50" s="23"/>
      <c r="AG50" s="23"/>
      <c r="AH50" s="23"/>
      <c r="AI50" s="23"/>
      <c r="AJ50" s="23"/>
      <c r="AK50" s="25"/>
      <c r="AL50" s="28"/>
      <c r="AM50" s="23"/>
      <c r="AN50" s="23"/>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5"/>
      <c r="BN50" s="35"/>
      <c r="BO50" s="36"/>
      <c r="BP50" s="36"/>
      <c r="BQ50" s="36"/>
      <c r="BR50" s="36"/>
      <c r="BS50" s="36"/>
      <c r="BT50" s="36"/>
      <c r="BU50" s="36"/>
      <c r="BV50" s="36"/>
      <c r="BW50" s="36"/>
      <c r="BX50" s="36"/>
      <c r="BY50" s="36"/>
      <c r="BZ50" s="36"/>
      <c r="CA50" s="36"/>
      <c r="CB50" s="36"/>
      <c r="CC50" s="36"/>
      <c r="CD50" s="36"/>
      <c r="CE50" s="36"/>
      <c r="CF50" s="36"/>
      <c r="CG50" s="36"/>
      <c r="CH50" s="36"/>
      <c r="CI50" s="36"/>
      <c r="CJ50" s="36"/>
      <c r="CK50" s="36"/>
      <c r="CL50" s="36"/>
      <c r="CM50" s="36"/>
      <c r="CN50" s="36"/>
      <c r="CO50" s="36"/>
      <c r="CP50" s="36"/>
      <c r="CQ50" s="36"/>
      <c r="CR50" s="40"/>
      <c r="CS50" s="44"/>
      <c r="CT50" s="36"/>
      <c r="CU50" s="36"/>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c r="DV50" s="40"/>
      <c r="DW50" s="52"/>
      <c r="DX50" s="36"/>
      <c r="DY50" s="36"/>
      <c r="DZ50" s="36"/>
      <c r="EA50" s="36"/>
      <c r="EB50" s="36"/>
      <c r="EC50" s="36"/>
      <c r="ED50" s="36"/>
      <c r="EE50" s="36"/>
      <c r="EF50" s="36"/>
      <c r="EG50" s="36"/>
      <c r="EH50" s="36"/>
      <c r="EI50" s="36"/>
      <c r="EJ50" s="36"/>
      <c r="EK50" s="36"/>
      <c r="EL50" s="36"/>
      <c r="EM50" s="36"/>
      <c r="EN50" s="36"/>
      <c r="EO50" s="36"/>
      <c r="EP50" s="36"/>
      <c r="EQ50" s="36"/>
      <c r="ER50" s="36"/>
      <c r="ES50" s="36"/>
      <c r="ET50" s="36"/>
      <c r="EU50" s="36"/>
      <c r="EV50" s="36"/>
      <c r="EW50" s="36"/>
      <c r="EX50" s="36"/>
      <c r="EY50" s="36"/>
      <c r="EZ50" s="36"/>
      <c r="FA50" s="53"/>
    </row>
    <row r="51" spans="1:157" x14ac:dyDescent="0.2">
      <c r="A51" s="18"/>
      <c r="B51" s="18"/>
      <c r="C51" s="19"/>
      <c r="D51" s="59"/>
      <c r="E51" s="19"/>
      <c r="G51" s="22"/>
      <c r="H51" s="23"/>
      <c r="I51" s="23"/>
      <c r="J51" s="23"/>
      <c r="K51" s="23"/>
      <c r="L51" s="23"/>
      <c r="M51" s="23"/>
      <c r="N51" s="23"/>
      <c r="O51" s="23"/>
      <c r="P51" s="23"/>
      <c r="Q51" s="23"/>
      <c r="R51" s="23"/>
      <c r="S51" s="23"/>
      <c r="T51" s="23"/>
      <c r="U51" s="23"/>
      <c r="V51" s="23"/>
      <c r="W51" s="23"/>
      <c r="X51" s="23"/>
      <c r="Y51" s="23"/>
      <c r="Z51" s="23"/>
      <c r="AA51" s="23"/>
      <c r="AB51" s="23"/>
      <c r="AC51" s="23"/>
      <c r="AD51" s="23"/>
      <c r="AE51" s="23"/>
      <c r="AF51" s="23"/>
      <c r="AG51" s="23"/>
      <c r="AH51" s="23"/>
      <c r="AI51" s="23"/>
      <c r="AJ51" s="23"/>
      <c r="AK51" s="25"/>
      <c r="AL51" s="28"/>
      <c r="AM51" s="23"/>
      <c r="AN51" s="23"/>
      <c r="AO51" s="23"/>
      <c r="AP51" s="23"/>
      <c r="AQ51" s="23"/>
      <c r="AR51" s="23"/>
      <c r="AS51" s="23"/>
      <c r="AT51" s="23"/>
      <c r="AU51" s="23"/>
      <c r="AV51" s="23"/>
      <c r="AW51" s="23"/>
      <c r="AX51" s="23"/>
      <c r="AY51" s="23"/>
      <c r="AZ51" s="23"/>
      <c r="BA51" s="23"/>
      <c r="BB51" s="23"/>
      <c r="BC51" s="23"/>
      <c r="BD51" s="23"/>
      <c r="BE51" s="23"/>
      <c r="BF51" s="23"/>
      <c r="BG51" s="23"/>
      <c r="BH51" s="23"/>
      <c r="BI51" s="23"/>
      <c r="BJ51" s="23"/>
      <c r="BK51" s="23"/>
      <c r="BL51" s="23"/>
      <c r="BM51" s="25"/>
      <c r="BN51" s="35"/>
      <c r="BO51" s="36"/>
      <c r="BP51" s="36"/>
      <c r="BQ51" s="36"/>
      <c r="BR51" s="36"/>
      <c r="BS51" s="36"/>
      <c r="BT51" s="36"/>
      <c r="BU51" s="36"/>
      <c r="BV51" s="36"/>
      <c r="BW51" s="36"/>
      <c r="BX51" s="36"/>
      <c r="BY51" s="36"/>
      <c r="BZ51" s="36"/>
      <c r="CA51" s="36"/>
      <c r="CB51" s="36"/>
      <c r="CC51" s="36"/>
      <c r="CD51" s="36"/>
      <c r="CE51" s="36"/>
      <c r="CF51" s="36"/>
      <c r="CG51" s="36"/>
      <c r="CH51" s="36"/>
      <c r="CI51" s="36"/>
      <c r="CJ51" s="36"/>
      <c r="CK51" s="36"/>
      <c r="CL51" s="36"/>
      <c r="CM51" s="36"/>
      <c r="CN51" s="36"/>
      <c r="CO51" s="36"/>
      <c r="CP51" s="36"/>
      <c r="CQ51" s="36"/>
      <c r="CR51" s="40"/>
      <c r="CS51" s="44"/>
      <c r="CT51" s="36"/>
      <c r="CU51" s="36"/>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c r="DV51" s="40"/>
      <c r="DW51" s="52"/>
      <c r="DX51" s="36"/>
      <c r="DY51" s="36"/>
      <c r="DZ51" s="36"/>
      <c r="EA51" s="36"/>
      <c r="EB51" s="36"/>
      <c r="EC51" s="36"/>
      <c r="ED51" s="36"/>
      <c r="EE51" s="36"/>
      <c r="EF51" s="36"/>
      <c r="EG51" s="36"/>
      <c r="EH51" s="36"/>
      <c r="EI51" s="36"/>
      <c r="EJ51" s="36"/>
      <c r="EK51" s="36"/>
      <c r="EL51" s="36"/>
      <c r="EM51" s="36"/>
      <c r="EN51" s="36"/>
      <c r="EO51" s="36"/>
      <c r="EP51" s="36"/>
      <c r="EQ51" s="36"/>
      <c r="ER51" s="36"/>
      <c r="ES51" s="36"/>
      <c r="ET51" s="36"/>
      <c r="EU51" s="36"/>
      <c r="EV51" s="36"/>
      <c r="EW51" s="36"/>
      <c r="EX51" s="36"/>
      <c r="EY51" s="36"/>
      <c r="EZ51" s="36"/>
      <c r="FA51" s="53"/>
    </row>
    <row r="52" spans="1:157" x14ac:dyDescent="0.2">
      <c r="A52" s="18"/>
      <c r="B52" s="18"/>
      <c r="C52" s="19"/>
      <c r="D52" s="59"/>
      <c r="E52" s="19"/>
      <c r="G52" s="22"/>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5"/>
      <c r="AL52" s="28"/>
      <c r="AM52" s="23"/>
      <c r="AN52" s="23"/>
      <c r="AO52" s="23"/>
      <c r="AP52" s="23"/>
      <c r="AQ52" s="23"/>
      <c r="AR52" s="23"/>
      <c r="AS52" s="23"/>
      <c r="AT52" s="23"/>
      <c r="AU52" s="23"/>
      <c r="AV52" s="23"/>
      <c r="AW52" s="23"/>
      <c r="AX52" s="23"/>
      <c r="AY52" s="23"/>
      <c r="AZ52" s="23"/>
      <c r="BA52" s="23"/>
      <c r="BB52" s="23"/>
      <c r="BC52" s="23"/>
      <c r="BD52" s="23"/>
      <c r="BE52" s="23"/>
      <c r="BF52" s="23"/>
      <c r="BG52" s="23"/>
      <c r="BH52" s="23"/>
      <c r="BI52" s="23"/>
      <c r="BJ52" s="23"/>
      <c r="BK52" s="23"/>
      <c r="BL52" s="23"/>
      <c r="BM52" s="25"/>
      <c r="BN52" s="35"/>
      <c r="BO52" s="36"/>
      <c r="BP52" s="36"/>
      <c r="BQ52" s="36"/>
      <c r="BR52" s="36"/>
      <c r="BS52" s="36"/>
      <c r="BT52" s="36"/>
      <c r="BU52" s="36"/>
      <c r="BV52" s="36"/>
      <c r="BW52" s="36"/>
      <c r="BX52" s="36"/>
      <c r="BY52" s="36"/>
      <c r="BZ52" s="36"/>
      <c r="CA52" s="36"/>
      <c r="CB52" s="36"/>
      <c r="CC52" s="36"/>
      <c r="CD52" s="36"/>
      <c r="CE52" s="36"/>
      <c r="CF52" s="36"/>
      <c r="CG52" s="36"/>
      <c r="CH52" s="36"/>
      <c r="CI52" s="36"/>
      <c r="CJ52" s="36"/>
      <c r="CK52" s="36"/>
      <c r="CL52" s="36"/>
      <c r="CM52" s="36"/>
      <c r="CN52" s="36"/>
      <c r="CO52" s="36"/>
      <c r="CP52" s="36"/>
      <c r="CQ52" s="36"/>
      <c r="CR52" s="40"/>
      <c r="CS52" s="44"/>
      <c r="CT52" s="36"/>
      <c r="CU52" s="36"/>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c r="DV52" s="40"/>
      <c r="DW52" s="52"/>
      <c r="DX52" s="36"/>
      <c r="DY52" s="36"/>
      <c r="DZ52" s="36"/>
      <c r="EA52" s="36"/>
      <c r="EB52" s="36"/>
      <c r="EC52" s="36"/>
      <c r="ED52" s="36"/>
      <c r="EE52" s="36"/>
      <c r="EF52" s="36"/>
      <c r="EG52" s="36"/>
      <c r="EH52" s="36"/>
      <c r="EI52" s="36"/>
      <c r="EJ52" s="36"/>
      <c r="EK52" s="36"/>
      <c r="EL52" s="36"/>
      <c r="EM52" s="36"/>
      <c r="EN52" s="36"/>
      <c r="EO52" s="36"/>
      <c r="EP52" s="36"/>
      <c r="EQ52" s="36"/>
      <c r="ER52" s="36"/>
      <c r="ES52" s="36"/>
      <c r="ET52" s="36"/>
      <c r="EU52" s="36"/>
      <c r="EV52" s="36"/>
      <c r="EW52" s="36"/>
      <c r="EX52" s="36"/>
      <c r="EY52" s="36"/>
      <c r="EZ52" s="36"/>
      <c r="FA52" s="53"/>
    </row>
    <row r="53" spans="1:157" x14ac:dyDescent="0.2">
      <c r="A53" s="18"/>
      <c r="B53" s="18"/>
      <c r="C53" s="19"/>
      <c r="D53" s="59"/>
      <c r="E53" s="19"/>
      <c r="G53" s="22"/>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5"/>
      <c r="AL53" s="28"/>
      <c r="AM53" s="23"/>
      <c r="AN53" s="23"/>
      <c r="AO53" s="23"/>
      <c r="AP53" s="23"/>
      <c r="AQ53" s="23"/>
      <c r="AR53" s="23"/>
      <c r="AS53" s="23"/>
      <c r="AT53" s="23"/>
      <c r="AU53" s="23"/>
      <c r="AV53" s="23"/>
      <c r="AW53" s="23"/>
      <c r="AX53" s="23"/>
      <c r="AY53" s="23"/>
      <c r="AZ53" s="23"/>
      <c r="BA53" s="23"/>
      <c r="BB53" s="23"/>
      <c r="BC53" s="23"/>
      <c r="BD53" s="23"/>
      <c r="BE53" s="23"/>
      <c r="BF53" s="23"/>
      <c r="BG53" s="23"/>
      <c r="BH53" s="23"/>
      <c r="BI53" s="23"/>
      <c r="BJ53" s="23"/>
      <c r="BK53" s="23"/>
      <c r="BL53" s="23"/>
      <c r="BM53" s="25"/>
      <c r="BN53" s="35"/>
      <c r="BO53" s="36"/>
      <c r="BP53" s="36"/>
      <c r="BQ53" s="36"/>
      <c r="BR53" s="36"/>
      <c r="BS53" s="36"/>
      <c r="BT53" s="36"/>
      <c r="BU53" s="36"/>
      <c r="BV53" s="36"/>
      <c r="BW53" s="36"/>
      <c r="BX53" s="36"/>
      <c r="BY53" s="36"/>
      <c r="BZ53" s="36"/>
      <c r="CA53" s="36"/>
      <c r="CB53" s="36"/>
      <c r="CC53" s="36"/>
      <c r="CD53" s="36"/>
      <c r="CE53" s="36"/>
      <c r="CF53" s="36"/>
      <c r="CG53" s="36"/>
      <c r="CH53" s="36"/>
      <c r="CI53" s="36"/>
      <c r="CJ53" s="36"/>
      <c r="CK53" s="36"/>
      <c r="CL53" s="36"/>
      <c r="CM53" s="36"/>
      <c r="CN53" s="36"/>
      <c r="CO53" s="36"/>
      <c r="CP53" s="36"/>
      <c r="CQ53" s="36"/>
      <c r="CR53" s="40"/>
      <c r="CS53" s="44"/>
      <c r="CT53" s="36"/>
      <c r="CU53" s="36"/>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c r="DV53" s="40"/>
      <c r="DW53" s="52"/>
      <c r="DX53" s="36"/>
      <c r="DY53" s="36"/>
      <c r="DZ53" s="36"/>
      <c r="EA53" s="36"/>
      <c r="EB53" s="36"/>
      <c r="EC53" s="36"/>
      <c r="ED53" s="36"/>
      <c r="EE53" s="36"/>
      <c r="EF53" s="36"/>
      <c r="EG53" s="36"/>
      <c r="EH53" s="36"/>
      <c r="EI53" s="36"/>
      <c r="EJ53" s="36"/>
      <c r="EK53" s="36"/>
      <c r="EL53" s="36"/>
      <c r="EM53" s="36"/>
      <c r="EN53" s="36"/>
      <c r="EO53" s="36"/>
      <c r="EP53" s="36"/>
      <c r="EQ53" s="36"/>
      <c r="ER53" s="36"/>
      <c r="ES53" s="36"/>
      <c r="ET53" s="36"/>
      <c r="EU53" s="36"/>
      <c r="EV53" s="36"/>
      <c r="EW53" s="36"/>
      <c r="EX53" s="36"/>
      <c r="EY53" s="36"/>
      <c r="EZ53" s="36"/>
      <c r="FA53" s="53"/>
    </row>
    <row r="54" spans="1:157" x14ac:dyDescent="0.2">
      <c r="A54" s="18"/>
      <c r="B54" s="18"/>
      <c r="C54" s="19"/>
      <c r="D54" s="59"/>
      <c r="E54" s="19"/>
      <c r="G54" s="22"/>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5"/>
      <c r="AL54" s="28"/>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5"/>
      <c r="BN54" s="35"/>
      <c r="BO54" s="36"/>
      <c r="BP54" s="36"/>
      <c r="BQ54" s="36"/>
      <c r="BR54" s="36"/>
      <c r="BS54" s="36"/>
      <c r="BT54" s="36"/>
      <c r="BU54" s="36"/>
      <c r="BV54" s="36"/>
      <c r="BW54" s="36"/>
      <c r="BX54" s="36"/>
      <c r="BY54" s="36"/>
      <c r="BZ54" s="36"/>
      <c r="CA54" s="36"/>
      <c r="CB54" s="36"/>
      <c r="CC54" s="36"/>
      <c r="CD54" s="36"/>
      <c r="CE54" s="36"/>
      <c r="CF54" s="36"/>
      <c r="CG54" s="36"/>
      <c r="CH54" s="36"/>
      <c r="CI54" s="36"/>
      <c r="CJ54" s="36"/>
      <c r="CK54" s="36"/>
      <c r="CL54" s="36"/>
      <c r="CM54" s="36"/>
      <c r="CN54" s="36"/>
      <c r="CO54" s="36"/>
      <c r="CP54" s="36"/>
      <c r="CQ54" s="36"/>
      <c r="CR54" s="40"/>
      <c r="CS54" s="44"/>
      <c r="CT54" s="36"/>
      <c r="CU54" s="36"/>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c r="DV54" s="40"/>
      <c r="DW54" s="52"/>
      <c r="DX54" s="36"/>
      <c r="DY54" s="36"/>
      <c r="DZ54" s="36"/>
      <c r="EA54" s="36"/>
      <c r="EB54" s="36"/>
      <c r="EC54" s="36"/>
      <c r="ED54" s="36"/>
      <c r="EE54" s="36"/>
      <c r="EF54" s="36"/>
      <c r="EG54" s="36"/>
      <c r="EH54" s="36"/>
      <c r="EI54" s="36"/>
      <c r="EJ54" s="36"/>
      <c r="EK54" s="36"/>
      <c r="EL54" s="36"/>
      <c r="EM54" s="36"/>
      <c r="EN54" s="36"/>
      <c r="EO54" s="36"/>
      <c r="EP54" s="36"/>
      <c r="EQ54" s="36"/>
      <c r="ER54" s="36"/>
      <c r="ES54" s="36"/>
      <c r="ET54" s="36"/>
      <c r="EU54" s="36"/>
      <c r="EV54" s="36"/>
      <c r="EW54" s="36"/>
      <c r="EX54" s="36"/>
      <c r="EY54" s="36"/>
      <c r="EZ54" s="36"/>
      <c r="FA54" s="53"/>
    </row>
    <row r="55" spans="1:157" x14ac:dyDescent="0.2">
      <c r="A55" s="18"/>
      <c r="B55" s="18"/>
      <c r="C55" s="19"/>
      <c r="D55" s="59"/>
      <c r="E55" s="19"/>
      <c r="G55" s="22"/>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5"/>
      <c r="AL55" s="28"/>
      <c r="AM55" s="23"/>
      <c r="AN55" s="23"/>
      <c r="AO55" s="23"/>
      <c r="AP55" s="23"/>
      <c r="AQ55" s="23"/>
      <c r="AR55" s="23"/>
      <c r="AS55" s="23"/>
      <c r="AT55" s="23"/>
      <c r="AU55" s="23"/>
      <c r="AV55" s="23"/>
      <c r="AW55" s="23"/>
      <c r="AX55" s="23"/>
      <c r="AY55" s="23"/>
      <c r="AZ55" s="23"/>
      <c r="BA55" s="23"/>
      <c r="BB55" s="23"/>
      <c r="BC55" s="23"/>
      <c r="BD55" s="23"/>
      <c r="BE55" s="23"/>
      <c r="BF55" s="23"/>
      <c r="BG55" s="23"/>
      <c r="BH55" s="23"/>
      <c r="BI55" s="23"/>
      <c r="BJ55" s="23"/>
      <c r="BK55" s="23"/>
      <c r="BL55" s="23"/>
      <c r="BM55" s="25"/>
      <c r="BN55" s="35"/>
      <c r="BO55" s="36"/>
      <c r="BP55" s="36"/>
      <c r="BQ55" s="36"/>
      <c r="BR55" s="36"/>
      <c r="BS55" s="36"/>
      <c r="BT55" s="36"/>
      <c r="BU55" s="36"/>
      <c r="BV55" s="36"/>
      <c r="BW55" s="36"/>
      <c r="BX55" s="36"/>
      <c r="BY55" s="36"/>
      <c r="BZ55" s="36"/>
      <c r="CA55" s="36"/>
      <c r="CB55" s="36"/>
      <c r="CC55" s="36"/>
      <c r="CD55" s="36"/>
      <c r="CE55" s="36"/>
      <c r="CF55" s="36"/>
      <c r="CG55" s="36"/>
      <c r="CH55" s="36"/>
      <c r="CI55" s="36"/>
      <c r="CJ55" s="36"/>
      <c r="CK55" s="36"/>
      <c r="CL55" s="36"/>
      <c r="CM55" s="36"/>
      <c r="CN55" s="36"/>
      <c r="CO55" s="36"/>
      <c r="CP55" s="36"/>
      <c r="CQ55" s="36"/>
      <c r="CR55" s="40"/>
      <c r="CS55" s="44"/>
      <c r="CT55" s="36"/>
      <c r="CU55" s="36"/>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c r="DV55" s="40"/>
      <c r="DW55" s="52"/>
      <c r="DX55" s="36"/>
      <c r="DY55" s="36"/>
      <c r="DZ55" s="36"/>
      <c r="EA55" s="36"/>
      <c r="EB55" s="36"/>
      <c r="EC55" s="36"/>
      <c r="ED55" s="36"/>
      <c r="EE55" s="36"/>
      <c r="EF55" s="36"/>
      <c r="EG55" s="36"/>
      <c r="EH55" s="36"/>
      <c r="EI55" s="36"/>
      <c r="EJ55" s="36"/>
      <c r="EK55" s="36"/>
      <c r="EL55" s="36"/>
      <c r="EM55" s="36"/>
      <c r="EN55" s="36"/>
      <c r="EO55" s="36"/>
      <c r="EP55" s="36"/>
      <c r="EQ55" s="36"/>
      <c r="ER55" s="36"/>
      <c r="ES55" s="36"/>
      <c r="ET55" s="36"/>
      <c r="EU55" s="36"/>
      <c r="EV55" s="36"/>
      <c r="EW55" s="36"/>
      <c r="EX55" s="36"/>
      <c r="EY55" s="36"/>
      <c r="EZ55" s="36"/>
      <c r="FA55" s="53"/>
    </row>
    <row r="56" spans="1:157" x14ac:dyDescent="0.2">
      <c r="A56" s="18"/>
      <c r="B56" s="18"/>
      <c r="C56" s="19"/>
      <c r="D56" s="59"/>
      <c r="E56" s="19"/>
      <c r="G56" s="22"/>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5"/>
      <c r="AL56" s="28"/>
      <c r="AM56" s="23"/>
      <c r="AN56" s="23"/>
      <c r="AO56" s="23"/>
      <c r="AP56" s="23"/>
      <c r="AQ56" s="23"/>
      <c r="AR56" s="23"/>
      <c r="AS56" s="23"/>
      <c r="AT56" s="23"/>
      <c r="AU56" s="23"/>
      <c r="AV56" s="23"/>
      <c r="AW56" s="23"/>
      <c r="AX56" s="23"/>
      <c r="AY56" s="23"/>
      <c r="AZ56" s="23"/>
      <c r="BA56" s="23"/>
      <c r="BB56" s="23"/>
      <c r="BC56" s="23"/>
      <c r="BD56" s="23"/>
      <c r="BE56" s="23"/>
      <c r="BF56" s="23"/>
      <c r="BG56" s="23"/>
      <c r="BH56" s="23"/>
      <c r="BI56" s="23"/>
      <c r="BJ56" s="23"/>
      <c r="BK56" s="23"/>
      <c r="BL56" s="23"/>
      <c r="BM56" s="25"/>
      <c r="BN56" s="35"/>
      <c r="BO56" s="36"/>
      <c r="BP56" s="36"/>
      <c r="BQ56" s="36"/>
      <c r="BR56" s="36"/>
      <c r="BS56" s="36"/>
      <c r="BT56" s="36"/>
      <c r="BU56" s="36"/>
      <c r="BV56" s="36"/>
      <c r="BW56" s="36"/>
      <c r="BX56" s="36"/>
      <c r="BY56" s="36"/>
      <c r="BZ56" s="36"/>
      <c r="CA56" s="36"/>
      <c r="CB56" s="36"/>
      <c r="CC56" s="36"/>
      <c r="CD56" s="36"/>
      <c r="CE56" s="36"/>
      <c r="CF56" s="36"/>
      <c r="CG56" s="36"/>
      <c r="CH56" s="36"/>
      <c r="CI56" s="36"/>
      <c r="CJ56" s="36"/>
      <c r="CK56" s="36"/>
      <c r="CL56" s="36"/>
      <c r="CM56" s="36"/>
      <c r="CN56" s="36"/>
      <c r="CO56" s="36"/>
      <c r="CP56" s="36"/>
      <c r="CQ56" s="36"/>
      <c r="CR56" s="40"/>
      <c r="CS56" s="44"/>
      <c r="CT56" s="36"/>
      <c r="CU56" s="36"/>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c r="DV56" s="40"/>
      <c r="DW56" s="52"/>
      <c r="DX56" s="36"/>
      <c r="DY56" s="36"/>
      <c r="DZ56" s="36"/>
      <c r="EA56" s="36"/>
      <c r="EB56" s="36"/>
      <c r="EC56" s="36"/>
      <c r="ED56" s="36"/>
      <c r="EE56" s="36"/>
      <c r="EF56" s="36"/>
      <c r="EG56" s="36"/>
      <c r="EH56" s="36"/>
      <c r="EI56" s="36"/>
      <c r="EJ56" s="36"/>
      <c r="EK56" s="36"/>
      <c r="EL56" s="36"/>
      <c r="EM56" s="36"/>
      <c r="EN56" s="36"/>
      <c r="EO56" s="36"/>
      <c r="EP56" s="36"/>
      <c r="EQ56" s="36"/>
      <c r="ER56" s="36"/>
      <c r="ES56" s="36"/>
      <c r="ET56" s="36"/>
      <c r="EU56" s="36"/>
      <c r="EV56" s="36"/>
      <c r="EW56" s="36"/>
      <c r="EX56" s="36"/>
      <c r="EY56" s="36"/>
      <c r="EZ56" s="36"/>
      <c r="FA56" s="53"/>
    </row>
    <row r="57" spans="1:157" x14ac:dyDescent="0.2">
      <c r="A57" s="18"/>
      <c r="B57" s="18"/>
      <c r="C57" s="19"/>
      <c r="D57" s="59"/>
      <c r="E57" s="19"/>
      <c r="G57" s="22"/>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5"/>
      <c r="AL57" s="28"/>
      <c r="AM57" s="23"/>
      <c r="AN57" s="23"/>
      <c r="AO57" s="23"/>
      <c r="AP57" s="23"/>
      <c r="AQ57" s="23"/>
      <c r="AR57" s="23"/>
      <c r="AS57" s="23"/>
      <c r="AT57" s="23"/>
      <c r="AU57" s="23"/>
      <c r="AV57" s="23"/>
      <c r="AW57" s="23"/>
      <c r="AX57" s="23"/>
      <c r="AY57" s="23"/>
      <c r="AZ57" s="23"/>
      <c r="BA57" s="23"/>
      <c r="BB57" s="23"/>
      <c r="BC57" s="23"/>
      <c r="BD57" s="23"/>
      <c r="BE57" s="23"/>
      <c r="BF57" s="23"/>
      <c r="BG57" s="23"/>
      <c r="BH57" s="23"/>
      <c r="BI57" s="23"/>
      <c r="BJ57" s="23"/>
      <c r="BK57" s="23"/>
      <c r="BL57" s="23"/>
      <c r="BM57" s="25"/>
      <c r="BN57" s="35"/>
      <c r="BO57" s="36"/>
      <c r="BP57" s="36"/>
      <c r="BQ57" s="36"/>
      <c r="BR57" s="36"/>
      <c r="BS57" s="36"/>
      <c r="BT57" s="36"/>
      <c r="BU57" s="36"/>
      <c r="BV57" s="36"/>
      <c r="BW57" s="36"/>
      <c r="BX57" s="36"/>
      <c r="BY57" s="36"/>
      <c r="BZ57" s="36"/>
      <c r="CA57" s="36"/>
      <c r="CB57" s="36"/>
      <c r="CC57" s="36"/>
      <c r="CD57" s="36"/>
      <c r="CE57" s="36"/>
      <c r="CF57" s="36"/>
      <c r="CG57" s="36"/>
      <c r="CH57" s="36"/>
      <c r="CI57" s="36"/>
      <c r="CJ57" s="36"/>
      <c r="CK57" s="36"/>
      <c r="CL57" s="36"/>
      <c r="CM57" s="36"/>
      <c r="CN57" s="36"/>
      <c r="CO57" s="36"/>
      <c r="CP57" s="36"/>
      <c r="CQ57" s="36"/>
      <c r="CR57" s="40"/>
      <c r="CS57" s="44"/>
      <c r="CT57" s="36"/>
      <c r="CU57" s="36"/>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c r="DV57" s="40"/>
      <c r="DW57" s="52"/>
      <c r="DX57" s="36"/>
      <c r="DY57" s="36"/>
      <c r="DZ57" s="36"/>
      <c r="EA57" s="36"/>
      <c r="EB57" s="36"/>
      <c r="EC57" s="36"/>
      <c r="ED57" s="36"/>
      <c r="EE57" s="36"/>
      <c r="EF57" s="36"/>
      <c r="EG57" s="36"/>
      <c r="EH57" s="36"/>
      <c r="EI57" s="36"/>
      <c r="EJ57" s="36"/>
      <c r="EK57" s="36"/>
      <c r="EL57" s="36"/>
      <c r="EM57" s="36"/>
      <c r="EN57" s="36"/>
      <c r="EO57" s="36"/>
      <c r="EP57" s="36"/>
      <c r="EQ57" s="36"/>
      <c r="ER57" s="36"/>
      <c r="ES57" s="36"/>
      <c r="ET57" s="36"/>
      <c r="EU57" s="36"/>
      <c r="EV57" s="36"/>
      <c r="EW57" s="36"/>
      <c r="EX57" s="36"/>
      <c r="EY57" s="36"/>
      <c r="EZ57" s="36"/>
      <c r="FA57" s="53"/>
    </row>
    <row r="58" spans="1:157" x14ac:dyDescent="0.2">
      <c r="A58" s="18"/>
      <c r="B58" s="18"/>
      <c r="C58" s="19"/>
      <c r="D58" s="59"/>
      <c r="E58" s="19"/>
      <c r="G58" s="22"/>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5"/>
      <c r="AL58" s="28"/>
      <c r="AM58" s="23"/>
      <c r="AN58" s="23"/>
      <c r="AO58" s="23"/>
      <c r="AP58" s="23"/>
      <c r="AQ58" s="23"/>
      <c r="AR58" s="23"/>
      <c r="AS58" s="23"/>
      <c r="AT58" s="23"/>
      <c r="AU58" s="23"/>
      <c r="AV58" s="23"/>
      <c r="AW58" s="23"/>
      <c r="AX58" s="23"/>
      <c r="AY58" s="23"/>
      <c r="AZ58" s="23"/>
      <c r="BA58" s="23"/>
      <c r="BB58" s="23"/>
      <c r="BC58" s="23"/>
      <c r="BD58" s="23"/>
      <c r="BE58" s="23"/>
      <c r="BF58" s="23"/>
      <c r="BG58" s="23"/>
      <c r="BH58" s="23"/>
      <c r="BI58" s="23"/>
      <c r="BJ58" s="23"/>
      <c r="BK58" s="23"/>
      <c r="BL58" s="23"/>
      <c r="BM58" s="25"/>
      <c r="BN58" s="35"/>
      <c r="BO58" s="36"/>
      <c r="BP58" s="36"/>
      <c r="BQ58" s="36"/>
      <c r="BR58" s="36"/>
      <c r="BS58" s="36"/>
      <c r="BT58" s="36"/>
      <c r="BU58" s="36"/>
      <c r="BV58" s="36"/>
      <c r="BW58" s="36"/>
      <c r="BX58" s="36"/>
      <c r="BY58" s="36"/>
      <c r="BZ58" s="36"/>
      <c r="CA58" s="36"/>
      <c r="CB58" s="36"/>
      <c r="CC58" s="36"/>
      <c r="CD58" s="36"/>
      <c r="CE58" s="36"/>
      <c r="CF58" s="36"/>
      <c r="CG58" s="36"/>
      <c r="CH58" s="36"/>
      <c r="CI58" s="36"/>
      <c r="CJ58" s="36"/>
      <c r="CK58" s="36"/>
      <c r="CL58" s="36"/>
      <c r="CM58" s="36"/>
      <c r="CN58" s="36"/>
      <c r="CO58" s="36"/>
      <c r="CP58" s="36"/>
      <c r="CQ58" s="36"/>
      <c r="CR58" s="40"/>
      <c r="CS58" s="44"/>
      <c r="CT58" s="36"/>
      <c r="CU58" s="36"/>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c r="DV58" s="40"/>
      <c r="DW58" s="52"/>
      <c r="DX58" s="36"/>
      <c r="DY58" s="36"/>
      <c r="DZ58" s="36"/>
      <c r="EA58" s="36"/>
      <c r="EB58" s="36"/>
      <c r="EC58" s="36"/>
      <c r="ED58" s="36"/>
      <c r="EE58" s="36"/>
      <c r="EF58" s="36"/>
      <c r="EG58" s="36"/>
      <c r="EH58" s="36"/>
      <c r="EI58" s="36"/>
      <c r="EJ58" s="36"/>
      <c r="EK58" s="36"/>
      <c r="EL58" s="36"/>
      <c r="EM58" s="36"/>
      <c r="EN58" s="36"/>
      <c r="EO58" s="36"/>
      <c r="EP58" s="36"/>
      <c r="EQ58" s="36"/>
      <c r="ER58" s="36"/>
      <c r="ES58" s="36"/>
      <c r="ET58" s="36"/>
      <c r="EU58" s="36"/>
      <c r="EV58" s="36"/>
      <c r="EW58" s="36"/>
      <c r="EX58" s="36"/>
      <c r="EY58" s="36"/>
      <c r="EZ58" s="36"/>
      <c r="FA58" s="53"/>
    </row>
    <row r="59" spans="1:157" x14ac:dyDescent="0.2">
      <c r="A59" s="18"/>
      <c r="B59" s="18"/>
      <c r="C59" s="19"/>
      <c r="D59" s="59"/>
      <c r="E59" s="19"/>
      <c r="G59" s="22"/>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5"/>
      <c r="AL59" s="28"/>
      <c r="AM59" s="23"/>
      <c r="AN59" s="23"/>
      <c r="AO59" s="23"/>
      <c r="AP59" s="23"/>
      <c r="AQ59" s="23"/>
      <c r="AR59" s="23"/>
      <c r="AS59" s="23"/>
      <c r="AT59" s="23"/>
      <c r="AU59" s="23"/>
      <c r="AV59" s="23"/>
      <c r="AW59" s="23"/>
      <c r="AX59" s="23"/>
      <c r="AY59" s="23"/>
      <c r="AZ59" s="23"/>
      <c r="BA59" s="23"/>
      <c r="BB59" s="23"/>
      <c r="BC59" s="23"/>
      <c r="BD59" s="23"/>
      <c r="BE59" s="23"/>
      <c r="BF59" s="23"/>
      <c r="BG59" s="23"/>
      <c r="BH59" s="23"/>
      <c r="BI59" s="23"/>
      <c r="BJ59" s="23"/>
      <c r="BK59" s="23"/>
      <c r="BL59" s="23"/>
      <c r="BM59" s="25"/>
      <c r="BN59" s="35"/>
      <c r="BO59" s="36"/>
      <c r="BP59" s="36"/>
      <c r="BQ59" s="36"/>
      <c r="BR59" s="36"/>
      <c r="BS59" s="36"/>
      <c r="BT59" s="36"/>
      <c r="BU59" s="36"/>
      <c r="BV59" s="36"/>
      <c r="BW59" s="36"/>
      <c r="BX59" s="36"/>
      <c r="BY59" s="36"/>
      <c r="BZ59" s="36"/>
      <c r="CA59" s="36"/>
      <c r="CB59" s="36"/>
      <c r="CC59" s="36"/>
      <c r="CD59" s="36"/>
      <c r="CE59" s="36"/>
      <c r="CF59" s="36"/>
      <c r="CG59" s="36"/>
      <c r="CH59" s="36"/>
      <c r="CI59" s="36"/>
      <c r="CJ59" s="36"/>
      <c r="CK59" s="36"/>
      <c r="CL59" s="36"/>
      <c r="CM59" s="36"/>
      <c r="CN59" s="36"/>
      <c r="CO59" s="36"/>
      <c r="CP59" s="36"/>
      <c r="CQ59" s="36"/>
      <c r="CR59" s="40"/>
      <c r="CS59" s="44"/>
      <c r="CT59" s="36"/>
      <c r="CU59" s="36"/>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c r="DV59" s="40"/>
      <c r="DW59" s="52"/>
      <c r="DX59" s="36"/>
      <c r="DY59" s="36"/>
      <c r="DZ59" s="36"/>
      <c r="EA59" s="36"/>
      <c r="EB59" s="36"/>
      <c r="EC59" s="36"/>
      <c r="ED59" s="36"/>
      <c r="EE59" s="36"/>
      <c r="EF59" s="36"/>
      <c r="EG59" s="36"/>
      <c r="EH59" s="36"/>
      <c r="EI59" s="36"/>
      <c r="EJ59" s="36"/>
      <c r="EK59" s="36"/>
      <c r="EL59" s="36"/>
      <c r="EM59" s="36"/>
      <c r="EN59" s="36"/>
      <c r="EO59" s="36"/>
      <c r="EP59" s="36"/>
      <c r="EQ59" s="36"/>
      <c r="ER59" s="36"/>
      <c r="ES59" s="36"/>
      <c r="ET59" s="36"/>
      <c r="EU59" s="36"/>
      <c r="EV59" s="36"/>
      <c r="EW59" s="36"/>
      <c r="EX59" s="36"/>
      <c r="EY59" s="36"/>
      <c r="EZ59" s="36"/>
      <c r="FA59" s="53"/>
    </row>
    <row r="60" spans="1:157" x14ac:dyDescent="0.2">
      <c r="A60" s="18"/>
      <c r="B60" s="18"/>
      <c r="C60" s="19"/>
      <c r="D60" s="59"/>
      <c r="E60" s="19"/>
      <c r="G60" s="22"/>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5"/>
      <c r="AL60" s="28"/>
      <c r="AM60" s="23"/>
      <c r="AN60" s="23"/>
      <c r="AO60" s="23"/>
      <c r="AP60" s="23"/>
      <c r="AQ60" s="23"/>
      <c r="AR60" s="23"/>
      <c r="AS60" s="23"/>
      <c r="AT60" s="23"/>
      <c r="AU60" s="23"/>
      <c r="AV60" s="23"/>
      <c r="AW60" s="23"/>
      <c r="AX60" s="23"/>
      <c r="AY60" s="23"/>
      <c r="AZ60" s="23"/>
      <c r="BA60" s="23"/>
      <c r="BB60" s="23"/>
      <c r="BC60" s="23"/>
      <c r="BD60" s="23"/>
      <c r="BE60" s="23"/>
      <c r="BF60" s="23"/>
      <c r="BG60" s="23"/>
      <c r="BH60" s="23"/>
      <c r="BI60" s="23"/>
      <c r="BJ60" s="23"/>
      <c r="BK60" s="23"/>
      <c r="BL60" s="23"/>
      <c r="BM60" s="25"/>
      <c r="BN60" s="35"/>
      <c r="BO60" s="36"/>
      <c r="BP60" s="36"/>
      <c r="BQ60" s="36"/>
      <c r="BR60" s="36"/>
      <c r="BS60" s="36"/>
      <c r="BT60" s="36"/>
      <c r="BU60" s="36"/>
      <c r="BV60" s="36"/>
      <c r="BW60" s="36"/>
      <c r="BX60" s="36"/>
      <c r="BY60" s="36"/>
      <c r="BZ60" s="36"/>
      <c r="CA60" s="36"/>
      <c r="CB60" s="36"/>
      <c r="CC60" s="36"/>
      <c r="CD60" s="36"/>
      <c r="CE60" s="36"/>
      <c r="CF60" s="36"/>
      <c r="CG60" s="36"/>
      <c r="CH60" s="36"/>
      <c r="CI60" s="36"/>
      <c r="CJ60" s="36"/>
      <c r="CK60" s="36"/>
      <c r="CL60" s="36"/>
      <c r="CM60" s="36"/>
      <c r="CN60" s="36"/>
      <c r="CO60" s="36"/>
      <c r="CP60" s="36"/>
      <c r="CQ60" s="36"/>
      <c r="CR60" s="40"/>
      <c r="CS60" s="44"/>
      <c r="CT60" s="36"/>
      <c r="CU60" s="36"/>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c r="DV60" s="40"/>
      <c r="DW60" s="52"/>
      <c r="DX60" s="36"/>
      <c r="DY60" s="36"/>
      <c r="DZ60" s="36"/>
      <c r="EA60" s="36"/>
      <c r="EB60" s="36"/>
      <c r="EC60" s="36"/>
      <c r="ED60" s="36"/>
      <c r="EE60" s="36"/>
      <c r="EF60" s="36"/>
      <c r="EG60" s="36"/>
      <c r="EH60" s="36"/>
      <c r="EI60" s="36"/>
      <c r="EJ60" s="36"/>
      <c r="EK60" s="36"/>
      <c r="EL60" s="36"/>
      <c r="EM60" s="36"/>
      <c r="EN60" s="36"/>
      <c r="EO60" s="36"/>
      <c r="EP60" s="36"/>
      <c r="EQ60" s="36"/>
      <c r="ER60" s="36"/>
      <c r="ES60" s="36"/>
      <c r="ET60" s="36"/>
      <c r="EU60" s="36"/>
      <c r="EV60" s="36"/>
      <c r="EW60" s="36"/>
      <c r="EX60" s="36"/>
      <c r="EY60" s="36"/>
      <c r="EZ60" s="36"/>
      <c r="FA60" s="53"/>
    </row>
    <row r="61" spans="1:157" x14ac:dyDescent="0.2">
      <c r="A61" s="18"/>
      <c r="B61" s="18"/>
      <c r="C61" s="19"/>
      <c r="D61" s="59"/>
      <c r="E61" s="19"/>
      <c r="G61" s="22"/>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5"/>
      <c r="AL61" s="28"/>
      <c r="AM61" s="23"/>
      <c r="AN61" s="23"/>
      <c r="AO61" s="23"/>
      <c r="AP61" s="23"/>
      <c r="AQ61" s="23"/>
      <c r="AR61" s="23"/>
      <c r="AS61" s="23"/>
      <c r="AT61" s="23"/>
      <c r="AU61" s="23"/>
      <c r="AV61" s="23"/>
      <c r="AW61" s="23"/>
      <c r="AX61" s="23"/>
      <c r="AY61" s="23"/>
      <c r="AZ61" s="23"/>
      <c r="BA61" s="23"/>
      <c r="BB61" s="23"/>
      <c r="BC61" s="23"/>
      <c r="BD61" s="23"/>
      <c r="BE61" s="23"/>
      <c r="BF61" s="23"/>
      <c r="BG61" s="23"/>
      <c r="BH61" s="23"/>
      <c r="BI61" s="23"/>
      <c r="BJ61" s="23"/>
      <c r="BK61" s="23"/>
      <c r="BL61" s="23"/>
      <c r="BM61" s="25"/>
      <c r="BN61" s="35"/>
      <c r="BO61" s="36"/>
      <c r="BP61" s="36"/>
      <c r="BQ61" s="36"/>
      <c r="BR61" s="36"/>
      <c r="BS61" s="36"/>
      <c r="BT61" s="36"/>
      <c r="BU61" s="36"/>
      <c r="BV61" s="36"/>
      <c r="BW61" s="36"/>
      <c r="BX61" s="36"/>
      <c r="BY61" s="36"/>
      <c r="BZ61" s="36"/>
      <c r="CA61" s="36"/>
      <c r="CB61" s="36"/>
      <c r="CC61" s="36"/>
      <c r="CD61" s="36"/>
      <c r="CE61" s="36"/>
      <c r="CF61" s="36"/>
      <c r="CG61" s="36"/>
      <c r="CH61" s="36"/>
      <c r="CI61" s="36"/>
      <c r="CJ61" s="36"/>
      <c r="CK61" s="36"/>
      <c r="CL61" s="36"/>
      <c r="CM61" s="36"/>
      <c r="CN61" s="36"/>
      <c r="CO61" s="36"/>
      <c r="CP61" s="36"/>
      <c r="CQ61" s="36"/>
      <c r="CR61" s="40"/>
      <c r="CS61" s="44"/>
      <c r="CT61" s="36"/>
      <c r="CU61" s="36"/>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c r="DV61" s="40"/>
      <c r="DW61" s="52"/>
      <c r="DX61" s="36"/>
      <c r="DY61" s="36"/>
      <c r="DZ61" s="36"/>
      <c r="EA61" s="36"/>
      <c r="EB61" s="36"/>
      <c r="EC61" s="36"/>
      <c r="ED61" s="36"/>
      <c r="EE61" s="36"/>
      <c r="EF61" s="36"/>
      <c r="EG61" s="36"/>
      <c r="EH61" s="36"/>
      <c r="EI61" s="36"/>
      <c r="EJ61" s="36"/>
      <c r="EK61" s="36"/>
      <c r="EL61" s="36"/>
      <c r="EM61" s="36"/>
      <c r="EN61" s="36"/>
      <c r="EO61" s="36"/>
      <c r="EP61" s="36"/>
      <c r="EQ61" s="36"/>
      <c r="ER61" s="36"/>
      <c r="ES61" s="36"/>
      <c r="ET61" s="36"/>
      <c r="EU61" s="36"/>
      <c r="EV61" s="36"/>
      <c r="EW61" s="36"/>
      <c r="EX61" s="36"/>
      <c r="EY61" s="36"/>
      <c r="EZ61" s="36"/>
      <c r="FA61" s="53"/>
    </row>
    <row r="62" spans="1:157" x14ac:dyDescent="0.2">
      <c r="A62" s="18"/>
      <c r="B62" s="18"/>
      <c r="C62" s="19"/>
      <c r="D62" s="59"/>
      <c r="E62" s="19"/>
      <c r="G62" s="22"/>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5"/>
      <c r="AL62" s="28"/>
      <c r="AM62" s="23"/>
      <c r="AN62" s="23"/>
      <c r="AO62" s="23"/>
      <c r="AP62" s="23"/>
      <c r="AQ62" s="23"/>
      <c r="AR62" s="23"/>
      <c r="AS62" s="23"/>
      <c r="AT62" s="23"/>
      <c r="AU62" s="23"/>
      <c r="AV62" s="23"/>
      <c r="AW62" s="23"/>
      <c r="AX62" s="23"/>
      <c r="AY62" s="23"/>
      <c r="AZ62" s="23"/>
      <c r="BA62" s="23"/>
      <c r="BB62" s="23"/>
      <c r="BC62" s="23"/>
      <c r="BD62" s="23"/>
      <c r="BE62" s="23"/>
      <c r="BF62" s="23"/>
      <c r="BG62" s="23"/>
      <c r="BH62" s="23"/>
      <c r="BI62" s="23"/>
      <c r="BJ62" s="23"/>
      <c r="BK62" s="23"/>
      <c r="BL62" s="23"/>
      <c r="BM62" s="25"/>
      <c r="BN62" s="35"/>
      <c r="BO62" s="36"/>
      <c r="BP62" s="36"/>
      <c r="BQ62" s="36"/>
      <c r="BR62" s="36"/>
      <c r="BS62" s="36"/>
      <c r="BT62" s="36"/>
      <c r="BU62" s="36"/>
      <c r="BV62" s="36"/>
      <c r="BW62" s="36"/>
      <c r="BX62" s="36"/>
      <c r="BY62" s="36"/>
      <c r="BZ62" s="36"/>
      <c r="CA62" s="36"/>
      <c r="CB62" s="36"/>
      <c r="CC62" s="36"/>
      <c r="CD62" s="36"/>
      <c r="CE62" s="36"/>
      <c r="CF62" s="36"/>
      <c r="CG62" s="36"/>
      <c r="CH62" s="36"/>
      <c r="CI62" s="36"/>
      <c r="CJ62" s="36"/>
      <c r="CK62" s="36"/>
      <c r="CL62" s="36"/>
      <c r="CM62" s="36"/>
      <c r="CN62" s="36"/>
      <c r="CO62" s="36"/>
      <c r="CP62" s="36"/>
      <c r="CQ62" s="36"/>
      <c r="CR62" s="40"/>
      <c r="CS62" s="44"/>
      <c r="CT62" s="36"/>
      <c r="CU62" s="36"/>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c r="DV62" s="40"/>
      <c r="DW62" s="52"/>
      <c r="DX62" s="36"/>
      <c r="DY62" s="36"/>
      <c r="DZ62" s="36"/>
      <c r="EA62" s="36"/>
      <c r="EB62" s="36"/>
      <c r="EC62" s="36"/>
      <c r="ED62" s="36"/>
      <c r="EE62" s="36"/>
      <c r="EF62" s="36"/>
      <c r="EG62" s="36"/>
      <c r="EH62" s="36"/>
      <c r="EI62" s="36"/>
      <c r="EJ62" s="36"/>
      <c r="EK62" s="36"/>
      <c r="EL62" s="36"/>
      <c r="EM62" s="36"/>
      <c r="EN62" s="36"/>
      <c r="EO62" s="36"/>
      <c r="EP62" s="36"/>
      <c r="EQ62" s="36"/>
      <c r="ER62" s="36"/>
      <c r="ES62" s="36"/>
      <c r="ET62" s="36"/>
      <c r="EU62" s="36"/>
      <c r="EV62" s="36"/>
      <c r="EW62" s="36"/>
      <c r="EX62" s="36"/>
      <c r="EY62" s="36"/>
      <c r="EZ62" s="36"/>
      <c r="FA62" s="53"/>
    </row>
    <row r="63" spans="1:157" x14ac:dyDescent="0.2">
      <c r="A63" s="18"/>
      <c r="B63" s="18"/>
      <c r="C63" s="19"/>
      <c r="D63" s="59"/>
      <c r="E63" s="19"/>
      <c r="G63" s="22"/>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c r="AH63" s="23"/>
      <c r="AI63" s="23"/>
      <c r="AJ63" s="23"/>
      <c r="AK63" s="25"/>
      <c r="AL63" s="28"/>
      <c r="AM63" s="23"/>
      <c r="AN63" s="23"/>
      <c r="AO63" s="23"/>
      <c r="AP63" s="23"/>
      <c r="AQ63" s="23"/>
      <c r="AR63" s="23"/>
      <c r="AS63" s="23"/>
      <c r="AT63" s="23"/>
      <c r="AU63" s="23"/>
      <c r="AV63" s="23"/>
      <c r="AW63" s="23"/>
      <c r="AX63" s="23"/>
      <c r="AY63" s="23"/>
      <c r="AZ63" s="23"/>
      <c r="BA63" s="23"/>
      <c r="BB63" s="23"/>
      <c r="BC63" s="23"/>
      <c r="BD63" s="23"/>
      <c r="BE63" s="23"/>
      <c r="BF63" s="23"/>
      <c r="BG63" s="23"/>
      <c r="BH63" s="23"/>
      <c r="BI63" s="23"/>
      <c r="BJ63" s="23"/>
      <c r="BK63" s="23"/>
      <c r="BL63" s="23"/>
      <c r="BM63" s="25"/>
      <c r="BN63" s="35"/>
      <c r="BO63" s="36"/>
      <c r="BP63" s="36"/>
      <c r="BQ63" s="36"/>
      <c r="BR63" s="36"/>
      <c r="BS63" s="36"/>
      <c r="BT63" s="36"/>
      <c r="BU63" s="36"/>
      <c r="BV63" s="36"/>
      <c r="BW63" s="36"/>
      <c r="BX63" s="36"/>
      <c r="BY63" s="36"/>
      <c r="BZ63" s="36"/>
      <c r="CA63" s="36"/>
      <c r="CB63" s="36"/>
      <c r="CC63" s="36"/>
      <c r="CD63" s="36"/>
      <c r="CE63" s="36"/>
      <c r="CF63" s="36"/>
      <c r="CG63" s="36"/>
      <c r="CH63" s="36"/>
      <c r="CI63" s="36"/>
      <c r="CJ63" s="36"/>
      <c r="CK63" s="36"/>
      <c r="CL63" s="36"/>
      <c r="CM63" s="36"/>
      <c r="CN63" s="36"/>
      <c r="CO63" s="36"/>
      <c r="CP63" s="36"/>
      <c r="CQ63" s="36"/>
      <c r="CR63" s="40"/>
      <c r="CS63" s="44"/>
      <c r="CT63" s="36"/>
      <c r="CU63" s="36"/>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c r="DV63" s="40"/>
      <c r="DW63" s="52"/>
      <c r="DX63" s="36"/>
      <c r="DY63" s="36"/>
      <c r="DZ63" s="36"/>
      <c r="EA63" s="36"/>
      <c r="EB63" s="36"/>
      <c r="EC63" s="36"/>
      <c r="ED63" s="36"/>
      <c r="EE63" s="36"/>
      <c r="EF63" s="36"/>
      <c r="EG63" s="36"/>
      <c r="EH63" s="36"/>
      <c r="EI63" s="36"/>
      <c r="EJ63" s="36"/>
      <c r="EK63" s="36"/>
      <c r="EL63" s="36"/>
      <c r="EM63" s="36"/>
      <c r="EN63" s="36"/>
      <c r="EO63" s="36"/>
      <c r="EP63" s="36"/>
      <c r="EQ63" s="36"/>
      <c r="ER63" s="36"/>
      <c r="ES63" s="36"/>
      <c r="ET63" s="36"/>
      <c r="EU63" s="36"/>
      <c r="EV63" s="36"/>
      <c r="EW63" s="36"/>
      <c r="EX63" s="36"/>
      <c r="EY63" s="36"/>
      <c r="EZ63" s="36"/>
      <c r="FA63" s="53"/>
    </row>
    <row r="64" spans="1:157" x14ac:dyDescent="0.2">
      <c r="A64" s="18"/>
      <c r="B64" s="18"/>
      <c r="C64" s="19"/>
      <c r="D64" s="59"/>
      <c r="E64" s="19"/>
      <c r="G64" s="22"/>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5"/>
      <c r="AL64" s="28"/>
      <c r="AM64" s="23"/>
      <c r="AN64" s="23"/>
      <c r="AO64" s="23"/>
      <c r="AP64" s="23"/>
      <c r="AQ64" s="23"/>
      <c r="AR64" s="23"/>
      <c r="AS64" s="23"/>
      <c r="AT64" s="23"/>
      <c r="AU64" s="23"/>
      <c r="AV64" s="23"/>
      <c r="AW64" s="23"/>
      <c r="AX64" s="23"/>
      <c r="AY64" s="23"/>
      <c r="AZ64" s="23"/>
      <c r="BA64" s="23"/>
      <c r="BB64" s="23"/>
      <c r="BC64" s="23"/>
      <c r="BD64" s="23"/>
      <c r="BE64" s="23"/>
      <c r="BF64" s="23"/>
      <c r="BG64" s="23"/>
      <c r="BH64" s="23"/>
      <c r="BI64" s="23"/>
      <c r="BJ64" s="23"/>
      <c r="BK64" s="23"/>
      <c r="BL64" s="23"/>
      <c r="BM64" s="25"/>
      <c r="BN64" s="35"/>
      <c r="BO64" s="36"/>
      <c r="BP64" s="36"/>
      <c r="BQ64" s="36"/>
      <c r="BR64" s="36"/>
      <c r="BS64" s="36"/>
      <c r="BT64" s="36"/>
      <c r="BU64" s="36"/>
      <c r="BV64" s="36"/>
      <c r="BW64" s="36"/>
      <c r="BX64" s="36"/>
      <c r="BY64" s="36"/>
      <c r="BZ64" s="36"/>
      <c r="CA64" s="36"/>
      <c r="CB64" s="36"/>
      <c r="CC64" s="36"/>
      <c r="CD64" s="36"/>
      <c r="CE64" s="36"/>
      <c r="CF64" s="36"/>
      <c r="CG64" s="36"/>
      <c r="CH64" s="36"/>
      <c r="CI64" s="36"/>
      <c r="CJ64" s="36"/>
      <c r="CK64" s="36"/>
      <c r="CL64" s="36"/>
      <c r="CM64" s="36"/>
      <c r="CN64" s="36"/>
      <c r="CO64" s="36"/>
      <c r="CP64" s="36"/>
      <c r="CQ64" s="36"/>
      <c r="CR64" s="40"/>
      <c r="CS64" s="44"/>
      <c r="CT64" s="36"/>
      <c r="CU64" s="36"/>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c r="DV64" s="40"/>
      <c r="DW64" s="52"/>
      <c r="DX64" s="36"/>
      <c r="DY64" s="36"/>
      <c r="DZ64" s="36"/>
      <c r="EA64" s="36"/>
      <c r="EB64" s="36"/>
      <c r="EC64" s="36"/>
      <c r="ED64" s="36"/>
      <c r="EE64" s="36"/>
      <c r="EF64" s="36"/>
      <c r="EG64" s="36"/>
      <c r="EH64" s="36"/>
      <c r="EI64" s="36"/>
      <c r="EJ64" s="36"/>
      <c r="EK64" s="36"/>
      <c r="EL64" s="36"/>
      <c r="EM64" s="36"/>
      <c r="EN64" s="36"/>
      <c r="EO64" s="36"/>
      <c r="EP64" s="36"/>
      <c r="EQ64" s="36"/>
      <c r="ER64" s="36"/>
      <c r="ES64" s="36"/>
      <c r="ET64" s="36"/>
      <c r="EU64" s="36"/>
      <c r="EV64" s="36"/>
      <c r="EW64" s="36"/>
      <c r="EX64" s="36"/>
      <c r="EY64" s="36"/>
      <c r="EZ64" s="36"/>
      <c r="FA64" s="53"/>
    </row>
    <row r="65" spans="1:157" x14ac:dyDescent="0.2">
      <c r="A65" s="18"/>
      <c r="B65" s="18"/>
      <c r="C65" s="19"/>
      <c r="D65" s="59"/>
      <c r="E65" s="19"/>
      <c r="G65" s="22"/>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c r="AH65" s="23"/>
      <c r="AI65" s="23"/>
      <c r="AJ65" s="23"/>
      <c r="AK65" s="25"/>
      <c r="AL65" s="28"/>
      <c r="AM65" s="23"/>
      <c r="AN65" s="23"/>
      <c r="AO65" s="23"/>
      <c r="AP65" s="23"/>
      <c r="AQ65" s="23"/>
      <c r="AR65" s="23"/>
      <c r="AS65" s="23"/>
      <c r="AT65" s="23"/>
      <c r="AU65" s="23"/>
      <c r="AV65" s="23"/>
      <c r="AW65" s="23"/>
      <c r="AX65" s="23"/>
      <c r="AY65" s="23"/>
      <c r="AZ65" s="23"/>
      <c r="BA65" s="23"/>
      <c r="BB65" s="23"/>
      <c r="BC65" s="23"/>
      <c r="BD65" s="23"/>
      <c r="BE65" s="23"/>
      <c r="BF65" s="23"/>
      <c r="BG65" s="23"/>
      <c r="BH65" s="23"/>
      <c r="BI65" s="23"/>
      <c r="BJ65" s="23"/>
      <c r="BK65" s="23"/>
      <c r="BL65" s="23"/>
      <c r="BM65" s="25"/>
      <c r="BN65" s="35"/>
      <c r="BO65" s="36"/>
      <c r="BP65" s="36"/>
      <c r="BQ65" s="36"/>
      <c r="BR65" s="36"/>
      <c r="BS65" s="36"/>
      <c r="BT65" s="36"/>
      <c r="BU65" s="36"/>
      <c r="BV65" s="36"/>
      <c r="BW65" s="36"/>
      <c r="BX65" s="36"/>
      <c r="BY65" s="36"/>
      <c r="BZ65" s="36"/>
      <c r="CA65" s="36"/>
      <c r="CB65" s="36"/>
      <c r="CC65" s="36"/>
      <c r="CD65" s="36"/>
      <c r="CE65" s="36"/>
      <c r="CF65" s="36"/>
      <c r="CG65" s="36"/>
      <c r="CH65" s="36"/>
      <c r="CI65" s="36"/>
      <c r="CJ65" s="36"/>
      <c r="CK65" s="36"/>
      <c r="CL65" s="36"/>
      <c r="CM65" s="36"/>
      <c r="CN65" s="36"/>
      <c r="CO65" s="36"/>
      <c r="CP65" s="36"/>
      <c r="CQ65" s="36"/>
      <c r="CR65" s="40"/>
      <c r="CS65" s="44"/>
      <c r="CT65" s="36"/>
      <c r="CU65" s="36"/>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c r="DV65" s="40"/>
      <c r="DW65" s="52"/>
      <c r="DX65" s="36"/>
      <c r="DY65" s="36"/>
      <c r="DZ65" s="36"/>
      <c r="EA65" s="36"/>
      <c r="EB65" s="36"/>
      <c r="EC65" s="36"/>
      <c r="ED65" s="36"/>
      <c r="EE65" s="36"/>
      <c r="EF65" s="36"/>
      <c r="EG65" s="36"/>
      <c r="EH65" s="36"/>
      <c r="EI65" s="36"/>
      <c r="EJ65" s="36"/>
      <c r="EK65" s="36"/>
      <c r="EL65" s="36"/>
      <c r="EM65" s="36"/>
      <c r="EN65" s="36"/>
      <c r="EO65" s="36"/>
      <c r="EP65" s="36"/>
      <c r="EQ65" s="36"/>
      <c r="ER65" s="36"/>
      <c r="ES65" s="36"/>
      <c r="ET65" s="36"/>
      <c r="EU65" s="36"/>
      <c r="EV65" s="36"/>
      <c r="EW65" s="36"/>
      <c r="EX65" s="36"/>
      <c r="EY65" s="36"/>
      <c r="EZ65" s="36"/>
      <c r="FA65" s="53"/>
    </row>
    <row r="66" spans="1:157" x14ac:dyDescent="0.2">
      <c r="A66" s="18"/>
      <c r="B66" s="18"/>
      <c r="C66" s="19"/>
      <c r="D66" s="59"/>
      <c r="E66" s="19"/>
      <c r="G66" s="22"/>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c r="AH66" s="23"/>
      <c r="AI66" s="23"/>
      <c r="AJ66" s="23"/>
      <c r="AK66" s="25"/>
      <c r="AL66" s="28"/>
      <c r="AM66" s="23"/>
      <c r="AN66" s="23"/>
      <c r="AO66" s="23"/>
      <c r="AP66" s="23"/>
      <c r="AQ66" s="23"/>
      <c r="AR66" s="23"/>
      <c r="AS66" s="23"/>
      <c r="AT66" s="23"/>
      <c r="AU66" s="23"/>
      <c r="AV66" s="23"/>
      <c r="AW66" s="23"/>
      <c r="AX66" s="23"/>
      <c r="AY66" s="23"/>
      <c r="AZ66" s="23"/>
      <c r="BA66" s="23"/>
      <c r="BB66" s="23"/>
      <c r="BC66" s="23"/>
      <c r="BD66" s="23"/>
      <c r="BE66" s="23"/>
      <c r="BF66" s="23"/>
      <c r="BG66" s="23"/>
      <c r="BH66" s="23"/>
      <c r="BI66" s="23"/>
      <c r="BJ66" s="23"/>
      <c r="BK66" s="23"/>
      <c r="BL66" s="23"/>
      <c r="BM66" s="25"/>
      <c r="BN66" s="35"/>
      <c r="BO66" s="36"/>
      <c r="BP66" s="36"/>
      <c r="BQ66" s="36"/>
      <c r="BR66" s="36"/>
      <c r="BS66" s="36"/>
      <c r="BT66" s="36"/>
      <c r="BU66" s="36"/>
      <c r="BV66" s="36"/>
      <c r="BW66" s="36"/>
      <c r="BX66" s="36"/>
      <c r="BY66" s="36"/>
      <c r="BZ66" s="36"/>
      <c r="CA66" s="36"/>
      <c r="CB66" s="36"/>
      <c r="CC66" s="36"/>
      <c r="CD66" s="36"/>
      <c r="CE66" s="36"/>
      <c r="CF66" s="36"/>
      <c r="CG66" s="36"/>
      <c r="CH66" s="36"/>
      <c r="CI66" s="36"/>
      <c r="CJ66" s="36"/>
      <c r="CK66" s="36"/>
      <c r="CL66" s="36"/>
      <c r="CM66" s="36"/>
      <c r="CN66" s="36"/>
      <c r="CO66" s="36"/>
      <c r="CP66" s="36"/>
      <c r="CQ66" s="36"/>
      <c r="CR66" s="40"/>
      <c r="CS66" s="44"/>
      <c r="CT66" s="36"/>
      <c r="CU66" s="36"/>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c r="DV66" s="40"/>
      <c r="DW66" s="52"/>
      <c r="DX66" s="36"/>
      <c r="DY66" s="36"/>
      <c r="DZ66" s="36"/>
      <c r="EA66" s="36"/>
      <c r="EB66" s="36"/>
      <c r="EC66" s="36"/>
      <c r="ED66" s="36"/>
      <c r="EE66" s="36"/>
      <c r="EF66" s="36"/>
      <c r="EG66" s="36"/>
      <c r="EH66" s="36"/>
      <c r="EI66" s="36"/>
      <c r="EJ66" s="36"/>
      <c r="EK66" s="36"/>
      <c r="EL66" s="36"/>
      <c r="EM66" s="36"/>
      <c r="EN66" s="36"/>
      <c r="EO66" s="36"/>
      <c r="EP66" s="36"/>
      <c r="EQ66" s="36"/>
      <c r="ER66" s="36"/>
      <c r="ES66" s="36"/>
      <c r="ET66" s="36"/>
      <c r="EU66" s="36"/>
      <c r="EV66" s="36"/>
      <c r="EW66" s="36"/>
      <c r="EX66" s="36"/>
      <c r="EY66" s="36"/>
      <c r="EZ66" s="36"/>
      <c r="FA66" s="53"/>
    </row>
    <row r="67" spans="1:157" x14ac:dyDescent="0.2">
      <c r="A67" s="18"/>
      <c r="B67" s="18"/>
      <c r="C67" s="19"/>
      <c r="D67" s="59"/>
      <c r="E67" s="19"/>
      <c r="G67" s="22"/>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c r="AH67" s="23"/>
      <c r="AI67" s="23"/>
      <c r="AJ67" s="23"/>
      <c r="AK67" s="25"/>
      <c r="AL67" s="28"/>
      <c r="AM67" s="23"/>
      <c r="AN67" s="23"/>
      <c r="AO67" s="23"/>
      <c r="AP67" s="23"/>
      <c r="AQ67" s="23"/>
      <c r="AR67" s="23"/>
      <c r="AS67" s="23"/>
      <c r="AT67" s="23"/>
      <c r="AU67" s="23"/>
      <c r="AV67" s="23"/>
      <c r="AW67" s="23"/>
      <c r="AX67" s="23"/>
      <c r="AY67" s="23"/>
      <c r="AZ67" s="23"/>
      <c r="BA67" s="23"/>
      <c r="BB67" s="23"/>
      <c r="BC67" s="23"/>
      <c r="BD67" s="23"/>
      <c r="BE67" s="23"/>
      <c r="BF67" s="23"/>
      <c r="BG67" s="23"/>
      <c r="BH67" s="23"/>
      <c r="BI67" s="23"/>
      <c r="BJ67" s="23"/>
      <c r="BK67" s="23"/>
      <c r="BL67" s="23"/>
      <c r="BM67" s="25"/>
      <c r="BN67" s="35"/>
      <c r="BO67" s="36"/>
      <c r="BP67" s="36"/>
      <c r="BQ67" s="36"/>
      <c r="BR67" s="36"/>
      <c r="BS67" s="36"/>
      <c r="BT67" s="36"/>
      <c r="BU67" s="36"/>
      <c r="BV67" s="36"/>
      <c r="BW67" s="36"/>
      <c r="BX67" s="36"/>
      <c r="BY67" s="36"/>
      <c r="BZ67" s="36"/>
      <c r="CA67" s="36"/>
      <c r="CB67" s="36"/>
      <c r="CC67" s="36"/>
      <c r="CD67" s="36"/>
      <c r="CE67" s="36"/>
      <c r="CF67" s="36"/>
      <c r="CG67" s="36"/>
      <c r="CH67" s="36"/>
      <c r="CI67" s="36"/>
      <c r="CJ67" s="36"/>
      <c r="CK67" s="36"/>
      <c r="CL67" s="36"/>
      <c r="CM67" s="36"/>
      <c r="CN67" s="36"/>
      <c r="CO67" s="36"/>
      <c r="CP67" s="36"/>
      <c r="CQ67" s="36"/>
      <c r="CR67" s="40"/>
      <c r="CS67" s="44"/>
      <c r="CT67" s="36"/>
      <c r="CU67" s="36"/>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c r="DV67" s="40"/>
      <c r="DW67" s="52"/>
      <c r="DX67" s="36"/>
      <c r="DY67" s="36"/>
      <c r="DZ67" s="36"/>
      <c r="EA67" s="36"/>
      <c r="EB67" s="36"/>
      <c r="EC67" s="36"/>
      <c r="ED67" s="36"/>
      <c r="EE67" s="36"/>
      <c r="EF67" s="36"/>
      <c r="EG67" s="36"/>
      <c r="EH67" s="36"/>
      <c r="EI67" s="36"/>
      <c r="EJ67" s="36"/>
      <c r="EK67" s="36"/>
      <c r="EL67" s="36"/>
      <c r="EM67" s="36"/>
      <c r="EN67" s="36"/>
      <c r="EO67" s="36"/>
      <c r="EP67" s="36"/>
      <c r="EQ67" s="36"/>
      <c r="ER67" s="36"/>
      <c r="ES67" s="36"/>
      <c r="ET67" s="36"/>
      <c r="EU67" s="36"/>
      <c r="EV67" s="36"/>
      <c r="EW67" s="36"/>
      <c r="EX67" s="36"/>
      <c r="EY67" s="36"/>
      <c r="EZ67" s="36"/>
      <c r="FA67" s="53"/>
    </row>
    <row r="68" spans="1:157" x14ac:dyDescent="0.2">
      <c r="A68" s="18"/>
      <c r="B68" s="18"/>
      <c r="C68" s="19"/>
      <c r="D68" s="59"/>
      <c r="E68" s="19"/>
      <c r="G68" s="22"/>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c r="AH68" s="23"/>
      <c r="AI68" s="23"/>
      <c r="AJ68" s="23"/>
      <c r="AK68" s="25"/>
      <c r="AL68" s="28"/>
      <c r="AM68" s="23"/>
      <c r="AN68" s="23"/>
      <c r="AO68" s="23"/>
      <c r="AP68" s="23"/>
      <c r="AQ68" s="23"/>
      <c r="AR68" s="23"/>
      <c r="AS68" s="23"/>
      <c r="AT68" s="23"/>
      <c r="AU68" s="23"/>
      <c r="AV68" s="23"/>
      <c r="AW68" s="23"/>
      <c r="AX68" s="23"/>
      <c r="AY68" s="23"/>
      <c r="AZ68" s="23"/>
      <c r="BA68" s="23"/>
      <c r="BB68" s="23"/>
      <c r="BC68" s="23"/>
      <c r="BD68" s="23"/>
      <c r="BE68" s="23"/>
      <c r="BF68" s="23"/>
      <c r="BG68" s="23"/>
      <c r="BH68" s="23"/>
      <c r="BI68" s="23"/>
      <c r="BJ68" s="23"/>
      <c r="BK68" s="23"/>
      <c r="BL68" s="23"/>
      <c r="BM68" s="25"/>
      <c r="BN68" s="35"/>
      <c r="BO68" s="36"/>
      <c r="BP68" s="36"/>
      <c r="BQ68" s="36"/>
      <c r="BR68" s="36"/>
      <c r="BS68" s="36"/>
      <c r="BT68" s="36"/>
      <c r="BU68" s="36"/>
      <c r="BV68" s="36"/>
      <c r="BW68" s="36"/>
      <c r="BX68" s="36"/>
      <c r="BY68" s="36"/>
      <c r="BZ68" s="36"/>
      <c r="CA68" s="36"/>
      <c r="CB68" s="36"/>
      <c r="CC68" s="36"/>
      <c r="CD68" s="36"/>
      <c r="CE68" s="36"/>
      <c r="CF68" s="36"/>
      <c r="CG68" s="36"/>
      <c r="CH68" s="36"/>
      <c r="CI68" s="36"/>
      <c r="CJ68" s="36"/>
      <c r="CK68" s="36"/>
      <c r="CL68" s="36"/>
      <c r="CM68" s="36"/>
      <c r="CN68" s="36"/>
      <c r="CO68" s="36"/>
      <c r="CP68" s="36"/>
      <c r="CQ68" s="36"/>
      <c r="CR68" s="40"/>
      <c r="CS68" s="44"/>
      <c r="CT68" s="36"/>
      <c r="CU68" s="36"/>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c r="DV68" s="40"/>
      <c r="DW68" s="52"/>
      <c r="DX68" s="36"/>
      <c r="DY68" s="36"/>
      <c r="DZ68" s="36"/>
      <c r="EA68" s="36"/>
      <c r="EB68" s="36"/>
      <c r="EC68" s="36"/>
      <c r="ED68" s="36"/>
      <c r="EE68" s="36"/>
      <c r="EF68" s="36"/>
      <c r="EG68" s="36"/>
      <c r="EH68" s="36"/>
      <c r="EI68" s="36"/>
      <c r="EJ68" s="36"/>
      <c r="EK68" s="36"/>
      <c r="EL68" s="36"/>
      <c r="EM68" s="36"/>
      <c r="EN68" s="36"/>
      <c r="EO68" s="36"/>
      <c r="EP68" s="36"/>
      <c r="EQ68" s="36"/>
      <c r="ER68" s="36"/>
      <c r="ES68" s="36"/>
      <c r="ET68" s="36"/>
      <c r="EU68" s="36"/>
      <c r="EV68" s="36"/>
      <c r="EW68" s="36"/>
      <c r="EX68" s="36"/>
      <c r="EY68" s="36"/>
      <c r="EZ68" s="36"/>
      <c r="FA68" s="53"/>
    </row>
    <row r="69" spans="1:157" x14ac:dyDescent="0.2">
      <c r="A69" s="18"/>
      <c r="B69" s="18"/>
      <c r="C69" s="19"/>
      <c r="D69" s="59"/>
      <c r="E69" s="19"/>
      <c r="G69" s="22"/>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c r="AH69" s="23"/>
      <c r="AI69" s="23"/>
      <c r="AJ69" s="23"/>
      <c r="AK69" s="25"/>
      <c r="AL69" s="28"/>
      <c r="AM69" s="23"/>
      <c r="AN69" s="23"/>
      <c r="AO69" s="23"/>
      <c r="AP69" s="23"/>
      <c r="AQ69" s="23"/>
      <c r="AR69" s="23"/>
      <c r="AS69" s="23"/>
      <c r="AT69" s="23"/>
      <c r="AU69" s="23"/>
      <c r="AV69" s="23"/>
      <c r="AW69" s="23"/>
      <c r="AX69" s="23"/>
      <c r="AY69" s="23"/>
      <c r="AZ69" s="23"/>
      <c r="BA69" s="23"/>
      <c r="BB69" s="23"/>
      <c r="BC69" s="23"/>
      <c r="BD69" s="23"/>
      <c r="BE69" s="23"/>
      <c r="BF69" s="23"/>
      <c r="BG69" s="23"/>
      <c r="BH69" s="23"/>
      <c r="BI69" s="23"/>
      <c r="BJ69" s="23"/>
      <c r="BK69" s="23"/>
      <c r="BL69" s="23"/>
      <c r="BM69" s="25"/>
      <c r="BN69" s="35"/>
      <c r="BO69" s="36"/>
      <c r="BP69" s="36"/>
      <c r="BQ69" s="36"/>
      <c r="BR69" s="36"/>
      <c r="BS69" s="36"/>
      <c r="BT69" s="36"/>
      <c r="BU69" s="36"/>
      <c r="BV69" s="36"/>
      <c r="BW69" s="36"/>
      <c r="BX69" s="36"/>
      <c r="BY69" s="36"/>
      <c r="BZ69" s="36"/>
      <c r="CA69" s="36"/>
      <c r="CB69" s="36"/>
      <c r="CC69" s="36"/>
      <c r="CD69" s="36"/>
      <c r="CE69" s="36"/>
      <c r="CF69" s="36"/>
      <c r="CG69" s="36"/>
      <c r="CH69" s="36"/>
      <c r="CI69" s="36"/>
      <c r="CJ69" s="36"/>
      <c r="CK69" s="36"/>
      <c r="CL69" s="36"/>
      <c r="CM69" s="36"/>
      <c r="CN69" s="36"/>
      <c r="CO69" s="36"/>
      <c r="CP69" s="36"/>
      <c r="CQ69" s="36"/>
      <c r="CR69" s="40"/>
      <c r="CS69" s="44"/>
      <c r="CT69" s="36"/>
      <c r="CU69" s="36"/>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c r="DV69" s="40"/>
      <c r="DW69" s="52"/>
      <c r="DX69" s="36"/>
      <c r="DY69" s="36"/>
      <c r="DZ69" s="36"/>
      <c r="EA69" s="36"/>
      <c r="EB69" s="36"/>
      <c r="EC69" s="36"/>
      <c r="ED69" s="36"/>
      <c r="EE69" s="36"/>
      <c r="EF69" s="36"/>
      <c r="EG69" s="36"/>
      <c r="EH69" s="36"/>
      <c r="EI69" s="36"/>
      <c r="EJ69" s="36"/>
      <c r="EK69" s="36"/>
      <c r="EL69" s="36"/>
      <c r="EM69" s="36"/>
      <c r="EN69" s="36"/>
      <c r="EO69" s="36"/>
      <c r="EP69" s="36"/>
      <c r="EQ69" s="36"/>
      <c r="ER69" s="36"/>
      <c r="ES69" s="36"/>
      <c r="ET69" s="36"/>
      <c r="EU69" s="36"/>
      <c r="EV69" s="36"/>
      <c r="EW69" s="36"/>
      <c r="EX69" s="36"/>
      <c r="EY69" s="36"/>
      <c r="EZ69" s="36"/>
      <c r="FA69" s="53"/>
    </row>
    <row r="70" spans="1:157" x14ac:dyDescent="0.2">
      <c r="A70" s="18"/>
      <c r="B70" s="18"/>
      <c r="C70" s="19"/>
      <c r="D70" s="59"/>
      <c r="E70" s="19"/>
      <c r="G70" s="22"/>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c r="AH70" s="23"/>
      <c r="AI70" s="23"/>
      <c r="AJ70" s="23"/>
      <c r="AK70" s="25"/>
      <c r="AL70" s="28"/>
      <c r="AM70" s="23"/>
      <c r="AN70" s="23"/>
      <c r="AO70" s="23"/>
      <c r="AP70" s="23"/>
      <c r="AQ70" s="23"/>
      <c r="AR70" s="23"/>
      <c r="AS70" s="23"/>
      <c r="AT70" s="23"/>
      <c r="AU70" s="23"/>
      <c r="AV70" s="23"/>
      <c r="AW70" s="23"/>
      <c r="AX70" s="23"/>
      <c r="AY70" s="23"/>
      <c r="AZ70" s="23"/>
      <c r="BA70" s="23"/>
      <c r="BB70" s="23"/>
      <c r="BC70" s="23"/>
      <c r="BD70" s="23"/>
      <c r="BE70" s="23"/>
      <c r="BF70" s="23"/>
      <c r="BG70" s="23"/>
      <c r="BH70" s="23"/>
      <c r="BI70" s="23"/>
      <c r="BJ70" s="23"/>
      <c r="BK70" s="23"/>
      <c r="BL70" s="23"/>
      <c r="BM70" s="25"/>
      <c r="BN70" s="35"/>
      <c r="BO70" s="36"/>
      <c r="BP70" s="36"/>
      <c r="BQ70" s="36"/>
      <c r="BR70" s="36"/>
      <c r="BS70" s="36"/>
      <c r="BT70" s="36"/>
      <c r="BU70" s="36"/>
      <c r="BV70" s="36"/>
      <c r="BW70" s="36"/>
      <c r="BX70" s="36"/>
      <c r="BY70" s="36"/>
      <c r="BZ70" s="36"/>
      <c r="CA70" s="36"/>
      <c r="CB70" s="36"/>
      <c r="CC70" s="36"/>
      <c r="CD70" s="36"/>
      <c r="CE70" s="36"/>
      <c r="CF70" s="36"/>
      <c r="CG70" s="36"/>
      <c r="CH70" s="36"/>
      <c r="CI70" s="36"/>
      <c r="CJ70" s="36"/>
      <c r="CK70" s="36"/>
      <c r="CL70" s="36"/>
      <c r="CM70" s="36"/>
      <c r="CN70" s="36"/>
      <c r="CO70" s="36"/>
      <c r="CP70" s="36"/>
      <c r="CQ70" s="36"/>
      <c r="CR70" s="40"/>
      <c r="CS70" s="44"/>
      <c r="CT70" s="36"/>
      <c r="CU70" s="36"/>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c r="DV70" s="40"/>
      <c r="DW70" s="52"/>
      <c r="DX70" s="36"/>
      <c r="DY70" s="36"/>
      <c r="DZ70" s="36"/>
      <c r="EA70" s="36"/>
      <c r="EB70" s="36"/>
      <c r="EC70" s="36"/>
      <c r="ED70" s="36"/>
      <c r="EE70" s="36"/>
      <c r="EF70" s="36"/>
      <c r="EG70" s="36"/>
      <c r="EH70" s="36"/>
      <c r="EI70" s="36"/>
      <c r="EJ70" s="36"/>
      <c r="EK70" s="36"/>
      <c r="EL70" s="36"/>
      <c r="EM70" s="36"/>
      <c r="EN70" s="36"/>
      <c r="EO70" s="36"/>
      <c r="EP70" s="36"/>
      <c r="EQ70" s="36"/>
      <c r="ER70" s="36"/>
      <c r="ES70" s="36"/>
      <c r="ET70" s="36"/>
      <c r="EU70" s="36"/>
      <c r="EV70" s="36"/>
      <c r="EW70" s="36"/>
      <c r="EX70" s="36"/>
      <c r="EY70" s="36"/>
      <c r="EZ70" s="36"/>
      <c r="FA70" s="53"/>
    </row>
    <row r="71" spans="1:157" x14ac:dyDescent="0.2">
      <c r="A71" s="18"/>
      <c r="B71" s="18"/>
      <c r="C71" s="19"/>
      <c r="D71" s="59"/>
      <c r="E71" s="19"/>
      <c r="G71" s="22"/>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c r="AH71" s="23"/>
      <c r="AI71" s="23"/>
      <c r="AJ71" s="23"/>
      <c r="AK71" s="25"/>
      <c r="AL71" s="28"/>
      <c r="AM71" s="23"/>
      <c r="AN71" s="23"/>
      <c r="AO71" s="23"/>
      <c r="AP71" s="23"/>
      <c r="AQ71" s="23"/>
      <c r="AR71" s="23"/>
      <c r="AS71" s="23"/>
      <c r="AT71" s="23"/>
      <c r="AU71" s="23"/>
      <c r="AV71" s="23"/>
      <c r="AW71" s="23"/>
      <c r="AX71" s="23"/>
      <c r="AY71" s="23"/>
      <c r="AZ71" s="23"/>
      <c r="BA71" s="23"/>
      <c r="BB71" s="23"/>
      <c r="BC71" s="23"/>
      <c r="BD71" s="23"/>
      <c r="BE71" s="23"/>
      <c r="BF71" s="23"/>
      <c r="BG71" s="23"/>
      <c r="BH71" s="23"/>
      <c r="BI71" s="23"/>
      <c r="BJ71" s="23"/>
      <c r="BK71" s="23"/>
      <c r="BL71" s="23"/>
      <c r="BM71" s="25"/>
      <c r="BN71" s="35"/>
      <c r="BO71" s="36"/>
      <c r="BP71" s="36"/>
      <c r="BQ71" s="36"/>
      <c r="BR71" s="36"/>
      <c r="BS71" s="36"/>
      <c r="BT71" s="36"/>
      <c r="BU71" s="36"/>
      <c r="BV71" s="36"/>
      <c r="BW71" s="36"/>
      <c r="BX71" s="36"/>
      <c r="BY71" s="36"/>
      <c r="BZ71" s="36"/>
      <c r="CA71" s="36"/>
      <c r="CB71" s="36"/>
      <c r="CC71" s="36"/>
      <c r="CD71" s="36"/>
      <c r="CE71" s="36"/>
      <c r="CF71" s="36"/>
      <c r="CG71" s="36"/>
      <c r="CH71" s="36"/>
      <c r="CI71" s="36"/>
      <c r="CJ71" s="36"/>
      <c r="CK71" s="36"/>
      <c r="CL71" s="36"/>
      <c r="CM71" s="36"/>
      <c r="CN71" s="36"/>
      <c r="CO71" s="36"/>
      <c r="CP71" s="36"/>
      <c r="CQ71" s="36"/>
      <c r="CR71" s="40"/>
      <c r="CS71" s="44"/>
      <c r="CT71" s="36"/>
      <c r="CU71" s="36"/>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c r="DV71" s="40"/>
      <c r="DW71" s="52"/>
      <c r="DX71" s="36"/>
      <c r="DY71" s="36"/>
      <c r="DZ71" s="36"/>
      <c r="EA71" s="36"/>
      <c r="EB71" s="36"/>
      <c r="EC71" s="36"/>
      <c r="ED71" s="36"/>
      <c r="EE71" s="36"/>
      <c r="EF71" s="36"/>
      <c r="EG71" s="36"/>
      <c r="EH71" s="36"/>
      <c r="EI71" s="36"/>
      <c r="EJ71" s="36"/>
      <c r="EK71" s="36"/>
      <c r="EL71" s="36"/>
      <c r="EM71" s="36"/>
      <c r="EN71" s="36"/>
      <c r="EO71" s="36"/>
      <c r="EP71" s="36"/>
      <c r="EQ71" s="36"/>
      <c r="ER71" s="36"/>
      <c r="ES71" s="36"/>
      <c r="ET71" s="36"/>
      <c r="EU71" s="36"/>
      <c r="EV71" s="36"/>
      <c r="EW71" s="36"/>
      <c r="EX71" s="36"/>
      <c r="EY71" s="36"/>
      <c r="EZ71" s="36"/>
      <c r="FA71" s="53"/>
    </row>
    <row r="72" spans="1:157" x14ac:dyDescent="0.2">
      <c r="A72" s="18"/>
      <c r="B72" s="18"/>
      <c r="C72" s="19"/>
      <c r="D72" s="59"/>
      <c r="E72" s="19"/>
      <c r="G72" s="22"/>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5"/>
      <c r="AL72" s="28"/>
      <c r="AM72" s="23"/>
      <c r="AN72" s="23"/>
      <c r="AO72" s="23"/>
      <c r="AP72" s="23"/>
      <c r="AQ72" s="23"/>
      <c r="AR72" s="23"/>
      <c r="AS72" s="23"/>
      <c r="AT72" s="23"/>
      <c r="AU72" s="23"/>
      <c r="AV72" s="23"/>
      <c r="AW72" s="23"/>
      <c r="AX72" s="23"/>
      <c r="AY72" s="23"/>
      <c r="AZ72" s="23"/>
      <c r="BA72" s="23"/>
      <c r="BB72" s="23"/>
      <c r="BC72" s="23"/>
      <c r="BD72" s="23"/>
      <c r="BE72" s="23"/>
      <c r="BF72" s="23"/>
      <c r="BG72" s="23"/>
      <c r="BH72" s="23"/>
      <c r="BI72" s="23"/>
      <c r="BJ72" s="23"/>
      <c r="BK72" s="23"/>
      <c r="BL72" s="23"/>
      <c r="BM72" s="25"/>
      <c r="BN72" s="35"/>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40"/>
      <c r="CS72" s="44"/>
      <c r="CT72" s="36"/>
      <c r="CU72" s="36"/>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c r="DV72" s="40"/>
      <c r="DW72" s="52"/>
      <c r="DX72" s="36"/>
      <c r="DY72" s="36"/>
      <c r="DZ72" s="36"/>
      <c r="EA72" s="36"/>
      <c r="EB72" s="36"/>
      <c r="EC72" s="36"/>
      <c r="ED72" s="36"/>
      <c r="EE72" s="36"/>
      <c r="EF72" s="36"/>
      <c r="EG72" s="36"/>
      <c r="EH72" s="36"/>
      <c r="EI72" s="36"/>
      <c r="EJ72" s="36"/>
      <c r="EK72" s="36"/>
      <c r="EL72" s="36"/>
      <c r="EM72" s="36"/>
      <c r="EN72" s="36"/>
      <c r="EO72" s="36"/>
      <c r="EP72" s="36"/>
      <c r="EQ72" s="36"/>
      <c r="ER72" s="36"/>
      <c r="ES72" s="36"/>
      <c r="ET72" s="36"/>
      <c r="EU72" s="36"/>
      <c r="EV72" s="36"/>
      <c r="EW72" s="36"/>
      <c r="EX72" s="36"/>
      <c r="EY72" s="36"/>
      <c r="EZ72" s="36"/>
      <c r="FA72" s="53"/>
    </row>
    <row r="73" spans="1:157" x14ac:dyDescent="0.2">
      <c r="A73" s="18"/>
      <c r="B73" s="18"/>
      <c r="C73" s="19"/>
      <c r="D73" s="59"/>
      <c r="E73" s="19"/>
      <c r="G73" s="22"/>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c r="AH73" s="23"/>
      <c r="AI73" s="23"/>
      <c r="AJ73" s="23"/>
      <c r="AK73" s="25"/>
      <c r="AL73" s="28"/>
      <c r="AM73" s="23"/>
      <c r="AN73" s="23"/>
      <c r="AO73" s="23"/>
      <c r="AP73" s="23"/>
      <c r="AQ73" s="23"/>
      <c r="AR73" s="23"/>
      <c r="AS73" s="23"/>
      <c r="AT73" s="23"/>
      <c r="AU73" s="23"/>
      <c r="AV73" s="23"/>
      <c r="AW73" s="23"/>
      <c r="AX73" s="23"/>
      <c r="AY73" s="23"/>
      <c r="AZ73" s="23"/>
      <c r="BA73" s="23"/>
      <c r="BB73" s="23"/>
      <c r="BC73" s="23"/>
      <c r="BD73" s="23"/>
      <c r="BE73" s="23"/>
      <c r="BF73" s="23"/>
      <c r="BG73" s="23"/>
      <c r="BH73" s="23"/>
      <c r="BI73" s="23"/>
      <c r="BJ73" s="23"/>
      <c r="BK73" s="23"/>
      <c r="BL73" s="23"/>
      <c r="BM73" s="25"/>
      <c r="BN73" s="35"/>
      <c r="BO73" s="36"/>
      <c r="BP73" s="36"/>
      <c r="BQ73" s="36"/>
      <c r="BR73" s="36"/>
      <c r="BS73" s="36"/>
      <c r="BT73" s="36"/>
      <c r="BU73" s="36"/>
      <c r="BV73" s="36"/>
      <c r="BW73" s="36"/>
      <c r="BX73" s="36"/>
      <c r="BY73" s="36"/>
      <c r="BZ73" s="36"/>
      <c r="CA73" s="36"/>
      <c r="CB73" s="36"/>
      <c r="CC73" s="36"/>
      <c r="CD73" s="36"/>
      <c r="CE73" s="36"/>
      <c r="CF73" s="36"/>
      <c r="CG73" s="36"/>
      <c r="CH73" s="36"/>
      <c r="CI73" s="36"/>
      <c r="CJ73" s="36"/>
      <c r="CK73" s="36"/>
      <c r="CL73" s="36"/>
      <c r="CM73" s="36"/>
      <c r="CN73" s="36"/>
      <c r="CO73" s="36"/>
      <c r="CP73" s="36"/>
      <c r="CQ73" s="36"/>
      <c r="CR73" s="40"/>
      <c r="CS73" s="44"/>
      <c r="CT73" s="36"/>
      <c r="CU73" s="36"/>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c r="DV73" s="40"/>
      <c r="DW73" s="52"/>
      <c r="DX73" s="36"/>
      <c r="DY73" s="36"/>
      <c r="DZ73" s="36"/>
      <c r="EA73" s="36"/>
      <c r="EB73" s="36"/>
      <c r="EC73" s="36"/>
      <c r="ED73" s="36"/>
      <c r="EE73" s="36"/>
      <c r="EF73" s="36"/>
      <c r="EG73" s="36"/>
      <c r="EH73" s="36"/>
      <c r="EI73" s="36"/>
      <c r="EJ73" s="36"/>
      <c r="EK73" s="36"/>
      <c r="EL73" s="36"/>
      <c r="EM73" s="36"/>
      <c r="EN73" s="36"/>
      <c r="EO73" s="36"/>
      <c r="EP73" s="36"/>
      <c r="EQ73" s="36"/>
      <c r="ER73" s="36"/>
      <c r="ES73" s="36"/>
      <c r="ET73" s="36"/>
      <c r="EU73" s="36"/>
      <c r="EV73" s="36"/>
      <c r="EW73" s="36"/>
      <c r="EX73" s="36"/>
      <c r="EY73" s="36"/>
      <c r="EZ73" s="36"/>
      <c r="FA73" s="53"/>
    </row>
    <row r="74" spans="1:157" x14ac:dyDescent="0.2">
      <c r="A74" s="18"/>
      <c r="B74" s="18"/>
      <c r="C74" s="19"/>
      <c r="D74" s="59"/>
      <c r="E74" s="19"/>
      <c r="G74" s="22"/>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c r="AH74" s="23"/>
      <c r="AI74" s="23"/>
      <c r="AJ74" s="23"/>
      <c r="AK74" s="25"/>
      <c r="AL74" s="28"/>
      <c r="AM74" s="23"/>
      <c r="AN74" s="23"/>
      <c r="AO74" s="23"/>
      <c r="AP74" s="23"/>
      <c r="AQ74" s="23"/>
      <c r="AR74" s="23"/>
      <c r="AS74" s="23"/>
      <c r="AT74" s="23"/>
      <c r="AU74" s="23"/>
      <c r="AV74" s="23"/>
      <c r="AW74" s="23"/>
      <c r="AX74" s="23"/>
      <c r="AY74" s="23"/>
      <c r="AZ74" s="23"/>
      <c r="BA74" s="23"/>
      <c r="BB74" s="23"/>
      <c r="BC74" s="23"/>
      <c r="BD74" s="23"/>
      <c r="BE74" s="23"/>
      <c r="BF74" s="23"/>
      <c r="BG74" s="23"/>
      <c r="BH74" s="23"/>
      <c r="BI74" s="23"/>
      <c r="BJ74" s="23"/>
      <c r="BK74" s="23"/>
      <c r="BL74" s="23"/>
      <c r="BM74" s="25"/>
      <c r="BN74" s="35"/>
      <c r="BO74" s="36"/>
      <c r="BP74" s="36"/>
      <c r="BQ74" s="36"/>
      <c r="BR74" s="36"/>
      <c r="BS74" s="36"/>
      <c r="BT74" s="36"/>
      <c r="BU74" s="36"/>
      <c r="BV74" s="36"/>
      <c r="BW74" s="36"/>
      <c r="BX74" s="36"/>
      <c r="BY74" s="36"/>
      <c r="BZ74" s="36"/>
      <c r="CA74" s="36"/>
      <c r="CB74" s="36"/>
      <c r="CC74" s="36"/>
      <c r="CD74" s="36"/>
      <c r="CE74" s="36"/>
      <c r="CF74" s="36"/>
      <c r="CG74" s="36"/>
      <c r="CH74" s="36"/>
      <c r="CI74" s="36"/>
      <c r="CJ74" s="36"/>
      <c r="CK74" s="36"/>
      <c r="CL74" s="36"/>
      <c r="CM74" s="36"/>
      <c r="CN74" s="36"/>
      <c r="CO74" s="36"/>
      <c r="CP74" s="36"/>
      <c r="CQ74" s="36"/>
      <c r="CR74" s="40"/>
      <c r="CS74" s="44"/>
      <c r="CT74" s="36"/>
      <c r="CU74" s="36"/>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c r="DV74" s="40"/>
      <c r="DW74" s="52"/>
      <c r="DX74" s="36"/>
      <c r="DY74" s="36"/>
      <c r="DZ74" s="36"/>
      <c r="EA74" s="36"/>
      <c r="EB74" s="36"/>
      <c r="EC74" s="36"/>
      <c r="ED74" s="36"/>
      <c r="EE74" s="36"/>
      <c r="EF74" s="36"/>
      <c r="EG74" s="36"/>
      <c r="EH74" s="36"/>
      <c r="EI74" s="36"/>
      <c r="EJ74" s="36"/>
      <c r="EK74" s="36"/>
      <c r="EL74" s="36"/>
      <c r="EM74" s="36"/>
      <c r="EN74" s="36"/>
      <c r="EO74" s="36"/>
      <c r="EP74" s="36"/>
      <c r="EQ74" s="36"/>
      <c r="ER74" s="36"/>
      <c r="ES74" s="36"/>
      <c r="ET74" s="36"/>
      <c r="EU74" s="36"/>
      <c r="EV74" s="36"/>
      <c r="EW74" s="36"/>
      <c r="EX74" s="36"/>
      <c r="EY74" s="36"/>
      <c r="EZ74" s="36"/>
      <c r="FA74" s="53"/>
    </row>
    <row r="75" spans="1:157" x14ac:dyDescent="0.2">
      <c r="A75" s="18"/>
      <c r="B75" s="18"/>
      <c r="C75" s="19"/>
      <c r="D75" s="59"/>
      <c r="E75" s="19"/>
      <c r="G75" s="22"/>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5"/>
      <c r="AL75" s="28"/>
      <c r="AM75" s="23"/>
      <c r="AN75" s="23"/>
      <c r="AO75" s="23"/>
      <c r="AP75" s="23"/>
      <c r="AQ75" s="23"/>
      <c r="AR75" s="23"/>
      <c r="AS75" s="23"/>
      <c r="AT75" s="23"/>
      <c r="AU75" s="23"/>
      <c r="AV75" s="23"/>
      <c r="AW75" s="23"/>
      <c r="AX75" s="23"/>
      <c r="AY75" s="23"/>
      <c r="AZ75" s="23"/>
      <c r="BA75" s="23"/>
      <c r="BB75" s="23"/>
      <c r="BC75" s="23"/>
      <c r="BD75" s="23"/>
      <c r="BE75" s="23"/>
      <c r="BF75" s="23"/>
      <c r="BG75" s="23"/>
      <c r="BH75" s="23"/>
      <c r="BI75" s="23"/>
      <c r="BJ75" s="23"/>
      <c r="BK75" s="23"/>
      <c r="BL75" s="23"/>
      <c r="BM75" s="25"/>
      <c r="BN75" s="35"/>
      <c r="BO75" s="36"/>
      <c r="BP75" s="36"/>
      <c r="BQ75" s="36"/>
      <c r="BR75" s="36"/>
      <c r="BS75" s="36"/>
      <c r="BT75" s="36"/>
      <c r="BU75" s="36"/>
      <c r="BV75" s="36"/>
      <c r="BW75" s="36"/>
      <c r="BX75" s="36"/>
      <c r="BY75" s="36"/>
      <c r="BZ75" s="36"/>
      <c r="CA75" s="36"/>
      <c r="CB75" s="36"/>
      <c r="CC75" s="36"/>
      <c r="CD75" s="36"/>
      <c r="CE75" s="36"/>
      <c r="CF75" s="36"/>
      <c r="CG75" s="36"/>
      <c r="CH75" s="36"/>
      <c r="CI75" s="36"/>
      <c r="CJ75" s="36"/>
      <c r="CK75" s="36"/>
      <c r="CL75" s="36"/>
      <c r="CM75" s="36"/>
      <c r="CN75" s="36"/>
      <c r="CO75" s="36"/>
      <c r="CP75" s="36"/>
      <c r="CQ75" s="36"/>
      <c r="CR75" s="40"/>
      <c r="CS75" s="44"/>
      <c r="CT75" s="36"/>
      <c r="CU75" s="36"/>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c r="DV75" s="40"/>
      <c r="DW75" s="52"/>
      <c r="DX75" s="36"/>
      <c r="DY75" s="36"/>
      <c r="DZ75" s="36"/>
      <c r="EA75" s="36"/>
      <c r="EB75" s="36"/>
      <c r="EC75" s="36"/>
      <c r="ED75" s="36"/>
      <c r="EE75" s="36"/>
      <c r="EF75" s="36"/>
      <c r="EG75" s="36"/>
      <c r="EH75" s="36"/>
      <c r="EI75" s="36"/>
      <c r="EJ75" s="36"/>
      <c r="EK75" s="36"/>
      <c r="EL75" s="36"/>
      <c r="EM75" s="36"/>
      <c r="EN75" s="36"/>
      <c r="EO75" s="36"/>
      <c r="EP75" s="36"/>
      <c r="EQ75" s="36"/>
      <c r="ER75" s="36"/>
      <c r="ES75" s="36"/>
      <c r="ET75" s="36"/>
      <c r="EU75" s="36"/>
      <c r="EV75" s="36"/>
      <c r="EW75" s="36"/>
      <c r="EX75" s="36"/>
      <c r="EY75" s="36"/>
      <c r="EZ75" s="36"/>
      <c r="FA75" s="53"/>
    </row>
    <row r="76" spans="1:157" x14ac:dyDescent="0.2">
      <c r="A76" s="18"/>
      <c r="B76" s="18"/>
      <c r="C76" s="19"/>
      <c r="D76" s="59"/>
      <c r="E76" s="19"/>
      <c r="G76" s="22"/>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c r="AH76" s="23"/>
      <c r="AI76" s="23"/>
      <c r="AJ76" s="23"/>
      <c r="AK76" s="25"/>
      <c r="AL76" s="28"/>
      <c r="AM76" s="23"/>
      <c r="AN76" s="23"/>
      <c r="AO76" s="23"/>
      <c r="AP76" s="23"/>
      <c r="AQ76" s="23"/>
      <c r="AR76" s="23"/>
      <c r="AS76" s="23"/>
      <c r="AT76" s="23"/>
      <c r="AU76" s="23"/>
      <c r="AV76" s="23"/>
      <c r="AW76" s="23"/>
      <c r="AX76" s="23"/>
      <c r="AY76" s="23"/>
      <c r="AZ76" s="23"/>
      <c r="BA76" s="23"/>
      <c r="BB76" s="23"/>
      <c r="BC76" s="23"/>
      <c r="BD76" s="23"/>
      <c r="BE76" s="23"/>
      <c r="BF76" s="23"/>
      <c r="BG76" s="23"/>
      <c r="BH76" s="23"/>
      <c r="BI76" s="23"/>
      <c r="BJ76" s="23"/>
      <c r="BK76" s="23"/>
      <c r="BL76" s="23"/>
      <c r="BM76" s="25"/>
      <c r="BN76" s="35"/>
      <c r="BO76" s="36"/>
      <c r="BP76" s="36"/>
      <c r="BQ76" s="36"/>
      <c r="BR76" s="36"/>
      <c r="BS76" s="36"/>
      <c r="BT76" s="36"/>
      <c r="BU76" s="36"/>
      <c r="BV76" s="36"/>
      <c r="BW76" s="36"/>
      <c r="BX76" s="36"/>
      <c r="BY76" s="36"/>
      <c r="BZ76" s="36"/>
      <c r="CA76" s="36"/>
      <c r="CB76" s="36"/>
      <c r="CC76" s="36"/>
      <c r="CD76" s="36"/>
      <c r="CE76" s="36"/>
      <c r="CF76" s="36"/>
      <c r="CG76" s="36"/>
      <c r="CH76" s="36"/>
      <c r="CI76" s="36"/>
      <c r="CJ76" s="36"/>
      <c r="CK76" s="36"/>
      <c r="CL76" s="36"/>
      <c r="CM76" s="36"/>
      <c r="CN76" s="36"/>
      <c r="CO76" s="36"/>
      <c r="CP76" s="36"/>
      <c r="CQ76" s="36"/>
      <c r="CR76" s="40"/>
      <c r="CS76" s="44"/>
      <c r="CT76" s="36"/>
      <c r="CU76" s="36"/>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c r="DV76" s="40"/>
      <c r="DW76" s="52"/>
      <c r="DX76" s="36"/>
      <c r="DY76" s="36"/>
      <c r="DZ76" s="36"/>
      <c r="EA76" s="36"/>
      <c r="EB76" s="36"/>
      <c r="EC76" s="36"/>
      <c r="ED76" s="36"/>
      <c r="EE76" s="36"/>
      <c r="EF76" s="36"/>
      <c r="EG76" s="36"/>
      <c r="EH76" s="36"/>
      <c r="EI76" s="36"/>
      <c r="EJ76" s="36"/>
      <c r="EK76" s="36"/>
      <c r="EL76" s="36"/>
      <c r="EM76" s="36"/>
      <c r="EN76" s="36"/>
      <c r="EO76" s="36"/>
      <c r="EP76" s="36"/>
      <c r="EQ76" s="36"/>
      <c r="ER76" s="36"/>
      <c r="ES76" s="36"/>
      <c r="ET76" s="36"/>
      <c r="EU76" s="36"/>
      <c r="EV76" s="36"/>
      <c r="EW76" s="36"/>
      <c r="EX76" s="36"/>
      <c r="EY76" s="36"/>
      <c r="EZ76" s="36"/>
      <c r="FA76" s="53"/>
    </row>
    <row r="77" spans="1:157" x14ac:dyDescent="0.2">
      <c r="A77" s="18"/>
      <c r="B77" s="18"/>
      <c r="C77" s="19"/>
      <c r="D77" s="59"/>
      <c r="E77" s="19"/>
      <c r="G77" s="22"/>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c r="AH77" s="23"/>
      <c r="AI77" s="23"/>
      <c r="AJ77" s="23"/>
      <c r="AK77" s="25"/>
      <c r="AL77" s="28"/>
      <c r="AM77" s="23"/>
      <c r="AN77" s="23"/>
      <c r="AO77" s="23"/>
      <c r="AP77" s="23"/>
      <c r="AQ77" s="23"/>
      <c r="AR77" s="23"/>
      <c r="AS77" s="23"/>
      <c r="AT77" s="23"/>
      <c r="AU77" s="23"/>
      <c r="AV77" s="23"/>
      <c r="AW77" s="23"/>
      <c r="AX77" s="23"/>
      <c r="AY77" s="23"/>
      <c r="AZ77" s="23"/>
      <c r="BA77" s="23"/>
      <c r="BB77" s="23"/>
      <c r="BC77" s="23"/>
      <c r="BD77" s="23"/>
      <c r="BE77" s="23"/>
      <c r="BF77" s="23"/>
      <c r="BG77" s="23"/>
      <c r="BH77" s="23"/>
      <c r="BI77" s="23"/>
      <c r="BJ77" s="23"/>
      <c r="BK77" s="23"/>
      <c r="BL77" s="23"/>
      <c r="BM77" s="25"/>
      <c r="BN77" s="35"/>
      <c r="BO77" s="36"/>
      <c r="BP77" s="36"/>
      <c r="BQ77" s="36"/>
      <c r="BR77" s="36"/>
      <c r="BS77" s="36"/>
      <c r="BT77" s="36"/>
      <c r="BU77" s="36"/>
      <c r="BV77" s="36"/>
      <c r="BW77" s="36"/>
      <c r="BX77" s="36"/>
      <c r="BY77" s="36"/>
      <c r="BZ77" s="36"/>
      <c r="CA77" s="36"/>
      <c r="CB77" s="36"/>
      <c r="CC77" s="36"/>
      <c r="CD77" s="36"/>
      <c r="CE77" s="36"/>
      <c r="CF77" s="36"/>
      <c r="CG77" s="36"/>
      <c r="CH77" s="36"/>
      <c r="CI77" s="36"/>
      <c r="CJ77" s="36"/>
      <c r="CK77" s="36"/>
      <c r="CL77" s="36"/>
      <c r="CM77" s="36"/>
      <c r="CN77" s="36"/>
      <c r="CO77" s="36"/>
      <c r="CP77" s="36"/>
      <c r="CQ77" s="36"/>
      <c r="CR77" s="40"/>
      <c r="CS77" s="44"/>
      <c r="CT77" s="36"/>
      <c r="CU77" s="36"/>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c r="DV77" s="40"/>
      <c r="DW77" s="52"/>
      <c r="DX77" s="36"/>
      <c r="DY77" s="36"/>
      <c r="DZ77" s="36"/>
      <c r="EA77" s="36"/>
      <c r="EB77" s="36"/>
      <c r="EC77" s="36"/>
      <c r="ED77" s="36"/>
      <c r="EE77" s="36"/>
      <c r="EF77" s="36"/>
      <c r="EG77" s="36"/>
      <c r="EH77" s="36"/>
      <c r="EI77" s="36"/>
      <c r="EJ77" s="36"/>
      <c r="EK77" s="36"/>
      <c r="EL77" s="36"/>
      <c r="EM77" s="36"/>
      <c r="EN77" s="36"/>
      <c r="EO77" s="36"/>
      <c r="EP77" s="36"/>
      <c r="EQ77" s="36"/>
      <c r="ER77" s="36"/>
      <c r="ES77" s="36"/>
      <c r="ET77" s="36"/>
      <c r="EU77" s="36"/>
      <c r="EV77" s="36"/>
      <c r="EW77" s="36"/>
      <c r="EX77" s="36"/>
      <c r="EY77" s="36"/>
      <c r="EZ77" s="36"/>
      <c r="FA77" s="53"/>
    </row>
    <row r="78" spans="1:157" x14ac:dyDescent="0.2">
      <c r="A78" s="18"/>
      <c r="B78" s="18"/>
      <c r="C78" s="19"/>
      <c r="D78" s="59"/>
      <c r="E78" s="19"/>
      <c r="G78" s="22"/>
      <c r="H78" s="23"/>
      <c r="I78" s="23"/>
      <c r="J78" s="23"/>
      <c r="K78" s="23"/>
      <c r="L78" s="23"/>
      <c r="M78" s="23"/>
      <c r="N78" s="23"/>
      <c r="O78" s="23"/>
      <c r="P78" s="23"/>
      <c r="Q78" s="23"/>
      <c r="R78" s="23"/>
      <c r="S78" s="23"/>
      <c r="T78" s="23"/>
      <c r="U78" s="23"/>
      <c r="V78" s="23"/>
      <c r="W78" s="23"/>
      <c r="X78" s="23"/>
      <c r="Y78" s="23"/>
      <c r="Z78" s="23"/>
      <c r="AA78" s="23"/>
      <c r="AB78" s="23"/>
      <c r="AC78" s="23"/>
      <c r="AD78" s="23"/>
      <c r="AE78" s="23"/>
      <c r="AF78" s="23"/>
      <c r="AG78" s="23"/>
      <c r="AH78" s="23"/>
      <c r="AI78" s="23"/>
      <c r="AJ78" s="23"/>
      <c r="AK78" s="25"/>
      <c r="AL78" s="28"/>
      <c r="AM78" s="23"/>
      <c r="AN78" s="23"/>
      <c r="AO78" s="23"/>
      <c r="AP78" s="23"/>
      <c r="AQ78" s="23"/>
      <c r="AR78" s="23"/>
      <c r="AS78" s="23"/>
      <c r="AT78" s="23"/>
      <c r="AU78" s="23"/>
      <c r="AV78" s="23"/>
      <c r="AW78" s="23"/>
      <c r="AX78" s="23"/>
      <c r="AY78" s="23"/>
      <c r="AZ78" s="23"/>
      <c r="BA78" s="23"/>
      <c r="BB78" s="23"/>
      <c r="BC78" s="23"/>
      <c r="BD78" s="23"/>
      <c r="BE78" s="23"/>
      <c r="BF78" s="23"/>
      <c r="BG78" s="23"/>
      <c r="BH78" s="23"/>
      <c r="BI78" s="23"/>
      <c r="BJ78" s="23"/>
      <c r="BK78" s="23"/>
      <c r="BL78" s="23"/>
      <c r="BM78" s="25"/>
      <c r="BN78" s="35"/>
      <c r="BO78" s="36"/>
      <c r="BP78" s="36"/>
      <c r="BQ78" s="36"/>
      <c r="BR78" s="36"/>
      <c r="BS78" s="36"/>
      <c r="BT78" s="36"/>
      <c r="BU78" s="36"/>
      <c r="BV78" s="36"/>
      <c r="BW78" s="36"/>
      <c r="BX78" s="36"/>
      <c r="BY78" s="36"/>
      <c r="BZ78" s="36"/>
      <c r="CA78" s="36"/>
      <c r="CB78" s="36"/>
      <c r="CC78" s="36"/>
      <c r="CD78" s="36"/>
      <c r="CE78" s="36"/>
      <c r="CF78" s="36"/>
      <c r="CG78" s="36"/>
      <c r="CH78" s="36"/>
      <c r="CI78" s="36"/>
      <c r="CJ78" s="36"/>
      <c r="CK78" s="36"/>
      <c r="CL78" s="36"/>
      <c r="CM78" s="36"/>
      <c r="CN78" s="36"/>
      <c r="CO78" s="36"/>
      <c r="CP78" s="36"/>
      <c r="CQ78" s="36"/>
      <c r="CR78" s="40"/>
      <c r="CS78" s="44"/>
      <c r="CT78" s="36"/>
      <c r="CU78" s="36"/>
      <c r="CV78" s="36"/>
      <c r="CW78" s="36"/>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c r="DV78" s="40"/>
      <c r="DW78" s="52"/>
      <c r="DX78" s="36"/>
      <c r="DY78" s="36"/>
      <c r="DZ78" s="36"/>
      <c r="EA78" s="36"/>
      <c r="EB78" s="36"/>
      <c r="EC78" s="36"/>
      <c r="ED78" s="36"/>
      <c r="EE78" s="36"/>
      <c r="EF78" s="36"/>
      <c r="EG78" s="36"/>
      <c r="EH78" s="36"/>
      <c r="EI78" s="36"/>
      <c r="EJ78" s="36"/>
      <c r="EK78" s="36"/>
      <c r="EL78" s="36"/>
      <c r="EM78" s="36"/>
      <c r="EN78" s="36"/>
      <c r="EO78" s="36"/>
      <c r="EP78" s="36"/>
      <c r="EQ78" s="36"/>
      <c r="ER78" s="36"/>
      <c r="ES78" s="36"/>
      <c r="ET78" s="36"/>
      <c r="EU78" s="36"/>
      <c r="EV78" s="36"/>
      <c r="EW78" s="36"/>
      <c r="EX78" s="36"/>
      <c r="EY78" s="36"/>
      <c r="EZ78" s="36"/>
      <c r="FA78" s="53"/>
    </row>
    <row r="79" spans="1:157" x14ac:dyDescent="0.2">
      <c r="A79" s="18"/>
      <c r="B79" s="18"/>
      <c r="C79" s="19"/>
      <c r="D79" s="59"/>
      <c r="E79" s="19"/>
      <c r="G79" s="22"/>
      <c r="H79" s="23"/>
      <c r="I79" s="23"/>
      <c r="J79" s="23"/>
      <c r="K79" s="23"/>
      <c r="L79" s="23"/>
      <c r="M79" s="23"/>
      <c r="N79" s="23"/>
      <c r="O79" s="23"/>
      <c r="P79" s="23"/>
      <c r="Q79" s="23"/>
      <c r="R79" s="23"/>
      <c r="S79" s="23"/>
      <c r="T79" s="23"/>
      <c r="U79" s="23"/>
      <c r="V79" s="23"/>
      <c r="W79" s="23"/>
      <c r="X79" s="23"/>
      <c r="Y79" s="23"/>
      <c r="Z79" s="23"/>
      <c r="AA79" s="23"/>
      <c r="AB79" s="23"/>
      <c r="AC79" s="23"/>
      <c r="AD79" s="23"/>
      <c r="AE79" s="23"/>
      <c r="AF79" s="23"/>
      <c r="AG79" s="23"/>
      <c r="AH79" s="23"/>
      <c r="AI79" s="23"/>
      <c r="AJ79" s="23"/>
      <c r="AK79" s="25"/>
      <c r="AL79" s="28"/>
      <c r="AM79" s="23"/>
      <c r="AN79" s="23"/>
      <c r="AO79" s="23"/>
      <c r="AP79" s="23"/>
      <c r="AQ79" s="23"/>
      <c r="AR79" s="23"/>
      <c r="AS79" s="23"/>
      <c r="AT79" s="23"/>
      <c r="AU79" s="23"/>
      <c r="AV79" s="23"/>
      <c r="AW79" s="23"/>
      <c r="AX79" s="23"/>
      <c r="AY79" s="23"/>
      <c r="AZ79" s="23"/>
      <c r="BA79" s="23"/>
      <c r="BB79" s="23"/>
      <c r="BC79" s="23"/>
      <c r="BD79" s="23"/>
      <c r="BE79" s="23"/>
      <c r="BF79" s="23"/>
      <c r="BG79" s="23"/>
      <c r="BH79" s="23"/>
      <c r="BI79" s="23"/>
      <c r="BJ79" s="23"/>
      <c r="BK79" s="23"/>
      <c r="BL79" s="23"/>
      <c r="BM79" s="25"/>
      <c r="BN79" s="35"/>
      <c r="BO79" s="36"/>
      <c r="BP79" s="36"/>
      <c r="BQ79" s="36"/>
      <c r="BR79" s="36"/>
      <c r="BS79" s="36"/>
      <c r="BT79" s="36"/>
      <c r="BU79" s="36"/>
      <c r="BV79" s="36"/>
      <c r="BW79" s="36"/>
      <c r="BX79" s="36"/>
      <c r="BY79" s="36"/>
      <c r="BZ79" s="36"/>
      <c r="CA79" s="36"/>
      <c r="CB79" s="36"/>
      <c r="CC79" s="36"/>
      <c r="CD79" s="36"/>
      <c r="CE79" s="36"/>
      <c r="CF79" s="36"/>
      <c r="CG79" s="36"/>
      <c r="CH79" s="36"/>
      <c r="CI79" s="36"/>
      <c r="CJ79" s="36"/>
      <c r="CK79" s="36"/>
      <c r="CL79" s="36"/>
      <c r="CM79" s="36"/>
      <c r="CN79" s="36"/>
      <c r="CO79" s="36"/>
      <c r="CP79" s="36"/>
      <c r="CQ79" s="36"/>
      <c r="CR79" s="40"/>
      <c r="CS79" s="44"/>
      <c r="CT79" s="36"/>
      <c r="CU79" s="36"/>
      <c r="CV79" s="36"/>
      <c r="CW79" s="36"/>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c r="DV79" s="40"/>
      <c r="DW79" s="52"/>
      <c r="DX79" s="36"/>
      <c r="DY79" s="36"/>
      <c r="DZ79" s="36"/>
      <c r="EA79" s="36"/>
      <c r="EB79" s="36"/>
      <c r="EC79" s="36"/>
      <c r="ED79" s="36"/>
      <c r="EE79" s="36"/>
      <c r="EF79" s="36"/>
      <c r="EG79" s="36"/>
      <c r="EH79" s="36"/>
      <c r="EI79" s="36"/>
      <c r="EJ79" s="36"/>
      <c r="EK79" s="36"/>
      <c r="EL79" s="36"/>
      <c r="EM79" s="36"/>
      <c r="EN79" s="36"/>
      <c r="EO79" s="36"/>
      <c r="EP79" s="36"/>
      <c r="EQ79" s="36"/>
      <c r="ER79" s="36"/>
      <c r="ES79" s="36"/>
      <c r="ET79" s="36"/>
      <c r="EU79" s="36"/>
      <c r="EV79" s="36"/>
      <c r="EW79" s="36"/>
      <c r="EX79" s="36"/>
      <c r="EY79" s="36"/>
      <c r="EZ79" s="36"/>
      <c r="FA79" s="53"/>
    </row>
    <row r="80" spans="1:157" x14ac:dyDescent="0.2">
      <c r="A80" s="18"/>
      <c r="B80" s="18"/>
      <c r="C80" s="19"/>
      <c r="D80" s="59"/>
      <c r="E80" s="19"/>
      <c r="G80" s="22"/>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5"/>
      <c r="AL80" s="28"/>
      <c r="AM80" s="23"/>
      <c r="AN80" s="23"/>
      <c r="AO80" s="23"/>
      <c r="AP80" s="23"/>
      <c r="AQ80" s="23"/>
      <c r="AR80" s="23"/>
      <c r="AS80" s="23"/>
      <c r="AT80" s="23"/>
      <c r="AU80" s="23"/>
      <c r="AV80" s="23"/>
      <c r="AW80" s="23"/>
      <c r="AX80" s="23"/>
      <c r="AY80" s="23"/>
      <c r="AZ80" s="23"/>
      <c r="BA80" s="23"/>
      <c r="BB80" s="23"/>
      <c r="BC80" s="23"/>
      <c r="BD80" s="23"/>
      <c r="BE80" s="23"/>
      <c r="BF80" s="23"/>
      <c r="BG80" s="23"/>
      <c r="BH80" s="23"/>
      <c r="BI80" s="23"/>
      <c r="BJ80" s="23"/>
      <c r="BK80" s="23"/>
      <c r="BL80" s="23"/>
      <c r="BM80" s="25"/>
      <c r="BN80" s="35"/>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40"/>
      <c r="CS80" s="44"/>
      <c r="CT80" s="36"/>
      <c r="CU80" s="36"/>
      <c r="CV80" s="36"/>
      <c r="CW80" s="36"/>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c r="DV80" s="40"/>
      <c r="DW80" s="52"/>
      <c r="DX80" s="36"/>
      <c r="DY80" s="36"/>
      <c r="DZ80" s="36"/>
      <c r="EA80" s="36"/>
      <c r="EB80" s="36"/>
      <c r="EC80" s="36"/>
      <c r="ED80" s="36"/>
      <c r="EE80" s="36"/>
      <c r="EF80" s="36"/>
      <c r="EG80" s="36"/>
      <c r="EH80" s="36"/>
      <c r="EI80" s="36"/>
      <c r="EJ80" s="36"/>
      <c r="EK80" s="36"/>
      <c r="EL80" s="36"/>
      <c r="EM80" s="36"/>
      <c r="EN80" s="36"/>
      <c r="EO80" s="36"/>
      <c r="EP80" s="36"/>
      <c r="EQ80" s="36"/>
      <c r="ER80" s="36"/>
      <c r="ES80" s="36"/>
      <c r="ET80" s="36"/>
      <c r="EU80" s="36"/>
      <c r="EV80" s="36"/>
      <c r="EW80" s="36"/>
      <c r="EX80" s="36"/>
      <c r="EY80" s="36"/>
      <c r="EZ80" s="36"/>
      <c r="FA80" s="53"/>
    </row>
    <row r="81" spans="1:157" x14ac:dyDescent="0.2">
      <c r="A81" s="18"/>
      <c r="B81" s="18"/>
      <c r="C81" s="19"/>
      <c r="D81" s="59"/>
      <c r="E81" s="19"/>
      <c r="G81" s="22"/>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5"/>
      <c r="AL81" s="28"/>
      <c r="AM81" s="23"/>
      <c r="AN81" s="23"/>
      <c r="AO81" s="23"/>
      <c r="AP81" s="23"/>
      <c r="AQ81" s="23"/>
      <c r="AR81" s="23"/>
      <c r="AS81" s="23"/>
      <c r="AT81" s="23"/>
      <c r="AU81" s="23"/>
      <c r="AV81" s="23"/>
      <c r="AW81" s="23"/>
      <c r="AX81" s="23"/>
      <c r="AY81" s="23"/>
      <c r="AZ81" s="23"/>
      <c r="BA81" s="23"/>
      <c r="BB81" s="23"/>
      <c r="BC81" s="23"/>
      <c r="BD81" s="23"/>
      <c r="BE81" s="23"/>
      <c r="BF81" s="23"/>
      <c r="BG81" s="23"/>
      <c r="BH81" s="23"/>
      <c r="BI81" s="23"/>
      <c r="BJ81" s="23"/>
      <c r="BK81" s="23"/>
      <c r="BL81" s="23"/>
      <c r="BM81" s="25"/>
      <c r="BN81" s="35"/>
      <c r="BO81" s="36"/>
      <c r="BP81" s="36"/>
      <c r="BQ81" s="36"/>
      <c r="BR81" s="36"/>
      <c r="BS81" s="36"/>
      <c r="BT81" s="36"/>
      <c r="BU81" s="36"/>
      <c r="BV81" s="36"/>
      <c r="BW81" s="36"/>
      <c r="BX81" s="36"/>
      <c r="BY81" s="36"/>
      <c r="BZ81" s="36"/>
      <c r="CA81" s="36"/>
      <c r="CB81" s="36"/>
      <c r="CC81" s="36"/>
      <c r="CD81" s="36"/>
      <c r="CE81" s="36"/>
      <c r="CF81" s="36"/>
      <c r="CG81" s="36"/>
      <c r="CH81" s="36"/>
      <c r="CI81" s="36"/>
      <c r="CJ81" s="36"/>
      <c r="CK81" s="36"/>
      <c r="CL81" s="36"/>
      <c r="CM81" s="36"/>
      <c r="CN81" s="36"/>
      <c r="CO81" s="36"/>
      <c r="CP81" s="36"/>
      <c r="CQ81" s="36"/>
      <c r="CR81" s="40"/>
      <c r="CS81" s="44"/>
      <c r="CT81" s="36"/>
      <c r="CU81" s="36"/>
      <c r="CV81" s="36"/>
      <c r="CW81" s="36"/>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c r="DV81" s="40"/>
      <c r="DW81" s="52"/>
      <c r="DX81" s="36"/>
      <c r="DY81" s="36"/>
      <c r="DZ81" s="36"/>
      <c r="EA81" s="36"/>
      <c r="EB81" s="36"/>
      <c r="EC81" s="36"/>
      <c r="ED81" s="36"/>
      <c r="EE81" s="36"/>
      <c r="EF81" s="36"/>
      <c r="EG81" s="36"/>
      <c r="EH81" s="36"/>
      <c r="EI81" s="36"/>
      <c r="EJ81" s="36"/>
      <c r="EK81" s="36"/>
      <c r="EL81" s="36"/>
      <c r="EM81" s="36"/>
      <c r="EN81" s="36"/>
      <c r="EO81" s="36"/>
      <c r="EP81" s="36"/>
      <c r="EQ81" s="36"/>
      <c r="ER81" s="36"/>
      <c r="ES81" s="36"/>
      <c r="ET81" s="36"/>
      <c r="EU81" s="36"/>
      <c r="EV81" s="36"/>
      <c r="EW81" s="36"/>
      <c r="EX81" s="36"/>
      <c r="EY81" s="36"/>
      <c r="EZ81" s="36"/>
      <c r="FA81" s="53"/>
    </row>
    <row r="82" spans="1:157" x14ac:dyDescent="0.2">
      <c r="A82" s="18"/>
      <c r="B82" s="18"/>
      <c r="C82" s="19"/>
      <c r="D82" s="59"/>
      <c r="E82" s="19"/>
      <c r="G82" s="22"/>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3"/>
      <c r="AJ82" s="23"/>
      <c r="AK82" s="25"/>
      <c r="AL82" s="28"/>
      <c r="AM82" s="23"/>
      <c r="AN82" s="23"/>
      <c r="AO82" s="23"/>
      <c r="AP82" s="23"/>
      <c r="AQ82" s="23"/>
      <c r="AR82" s="23"/>
      <c r="AS82" s="23"/>
      <c r="AT82" s="23"/>
      <c r="AU82" s="23"/>
      <c r="AV82" s="23"/>
      <c r="AW82" s="23"/>
      <c r="AX82" s="23"/>
      <c r="AY82" s="23"/>
      <c r="AZ82" s="23"/>
      <c r="BA82" s="23"/>
      <c r="BB82" s="23"/>
      <c r="BC82" s="23"/>
      <c r="BD82" s="23"/>
      <c r="BE82" s="23"/>
      <c r="BF82" s="23"/>
      <c r="BG82" s="23"/>
      <c r="BH82" s="23"/>
      <c r="BI82" s="23"/>
      <c r="BJ82" s="23"/>
      <c r="BK82" s="23"/>
      <c r="BL82" s="23"/>
      <c r="BM82" s="25"/>
      <c r="BN82" s="35"/>
      <c r="BO82" s="36"/>
      <c r="BP82" s="36"/>
      <c r="BQ82" s="36"/>
      <c r="BR82" s="36"/>
      <c r="BS82" s="36"/>
      <c r="BT82" s="36"/>
      <c r="BU82" s="36"/>
      <c r="BV82" s="36"/>
      <c r="BW82" s="36"/>
      <c r="BX82" s="36"/>
      <c r="BY82" s="36"/>
      <c r="BZ82" s="36"/>
      <c r="CA82" s="36"/>
      <c r="CB82" s="36"/>
      <c r="CC82" s="36"/>
      <c r="CD82" s="36"/>
      <c r="CE82" s="36"/>
      <c r="CF82" s="36"/>
      <c r="CG82" s="36"/>
      <c r="CH82" s="36"/>
      <c r="CI82" s="36"/>
      <c r="CJ82" s="36"/>
      <c r="CK82" s="36"/>
      <c r="CL82" s="36"/>
      <c r="CM82" s="36"/>
      <c r="CN82" s="36"/>
      <c r="CO82" s="36"/>
      <c r="CP82" s="36"/>
      <c r="CQ82" s="36"/>
      <c r="CR82" s="40"/>
      <c r="CS82" s="44"/>
      <c r="CT82" s="36"/>
      <c r="CU82" s="36"/>
      <c r="CV82" s="36"/>
      <c r="CW82" s="36"/>
      <c r="CX82" s="36"/>
      <c r="CY82" s="36"/>
      <c r="CZ82" s="36"/>
      <c r="DA82" s="36"/>
      <c r="DB82" s="36"/>
      <c r="DC82" s="36"/>
      <c r="DD82" s="36"/>
      <c r="DE82" s="36"/>
      <c r="DF82" s="36"/>
      <c r="DG82" s="36"/>
      <c r="DH82" s="36"/>
      <c r="DI82" s="36"/>
      <c r="DJ82" s="36"/>
      <c r="DK82" s="36"/>
      <c r="DL82" s="36"/>
      <c r="DM82" s="36"/>
      <c r="DN82" s="36"/>
      <c r="DO82" s="36"/>
      <c r="DP82" s="36"/>
      <c r="DQ82" s="36"/>
      <c r="DR82" s="36"/>
      <c r="DS82" s="36"/>
      <c r="DT82" s="36"/>
      <c r="DU82" s="36"/>
      <c r="DV82" s="40"/>
      <c r="DW82" s="52"/>
      <c r="DX82" s="36"/>
      <c r="DY82" s="36"/>
      <c r="DZ82" s="36"/>
      <c r="EA82" s="36"/>
      <c r="EB82" s="36"/>
      <c r="EC82" s="36"/>
      <c r="ED82" s="36"/>
      <c r="EE82" s="36"/>
      <c r="EF82" s="36"/>
      <c r="EG82" s="36"/>
      <c r="EH82" s="36"/>
      <c r="EI82" s="36"/>
      <c r="EJ82" s="36"/>
      <c r="EK82" s="36"/>
      <c r="EL82" s="36"/>
      <c r="EM82" s="36"/>
      <c r="EN82" s="36"/>
      <c r="EO82" s="36"/>
      <c r="EP82" s="36"/>
      <c r="EQ82" s="36"/>
      <c r="ER82" s="36"/>
      <c r="ES82" s="36"/>
      <c r="ET82" s="36"/>
      <c r="EU82" s="36"/>
      <c r="EV82" s="36"/>
      <c r="EW82" s="36"/>
      <c r="EX82" s="36"/>
      <c r="EY82" s="36"/>
      <c r="EZ82" s="36"/>
      <c r="FA82" s="53"/>
    </row>
    <row r="83" spans="1:157" x14ac:dyDescent="0.2">
      <c r="A83" s="18"/>
      <c r="B83" s="18"/>
      <c r="C83" s="19"/>
      <c r="D83" s="59"/>
      <c r="E83" s="19"/>
      <c r="G83" s="22"/>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5"/>
      <c r="AL83" s="28"/>
      <c r="AM83" s="23"/>
      <c r="AN83" s="23"/>
      <c r="AO83" s="23"/>
      <c r="AP83" s="23"/>
      <c r="AQ83" s="23"/>
      <c r="AR83" s="23"/>
      <c r="AS83" s="23"/>
      <c r="AT83" s="23"/>
      <c r="AU83" s="23"/>
      <c r="AV83" s="23"/>
      <c r="AW83" s="23"/>
      <c r="AX83" s="23"/>
      <c r="AY83" s="23"/>
      <c r="AZ83" s="23"/>
      <c r="BA83" s="23"/>
      <c r="BB83" s="23"/>
      <c r="BC83" s="23"/>
      <c r="BD83" s="23"/>
      <c r="BE83" s="23"/>
      <c r="BF83" s="23"/>
      <c r="BG83" s="23"/>
      <c r="BH83" s="23"/>
      <c r="BI83" s="23"/>
      <c r="BJ83" s="23"/>
      <c r="BK83" s="23"/>
      <c r="BL83" s="23"/>
      <c r="BM83" s="25"/>
      <c r="BN83" s="35"/>
      <c r="BO83" s="36"/>
      <c r="BP83" s="36"/>
      <c r="BQ83" s="36"/>
      <c r="BR83" s="36"/>
      <c r="BS83" s="36"/>
      <c r="BT83" s="36"/>
      <c r="BU83" s="36"/>
      <c r="BV83" s="36"/>
      <c r="BW83" s="36"/>
      <c r="BX83" s="36"/>
      <c r="BY83" s="36"/>
      <c r="BZ83" s="36"/>
      <c r="CA83" s="36"/>
      <c r="CB83" s="36"/>
      <c r="CC83" s="36"/>
      <c r="CD83" s="36"/>
      <c r="CE83" s="36"/>
      <c r="CF83" s="36"/>
      <c r="CG83" s="36"/>
      <c r="CH83" s="36"/>
      <c r="CI83" s="36"/>
      <c r="CJ83" s="36"/>
      <c r="CK83" s="36"/>
      <c r="CL83" s="36"/>
      <c r="CM83" s="36"/>
      <c r="CN83" s="36"/>
      <c r="CO83" s="36"/>
      <c r="CP83" s="36"/>
      <c r="CQ83" s="36"/>
      <c r="CR83" s="40"/>
      <c r="CS83" s="44"/>
      <c r="CT83" s="36"/>
      <c r="CU83" s="36"/>
      <c r="CV83" s="36"/>
      <c r="CW83" s="36"/>
      <c r="CX83" s="36"/>
      <c r="CY83" s="36"/>
      <c r="CZ83" s="36"/>
      <c r="DA83" s="36"/>
      <c r="DB83" s="36"/>
      <c r="DC83" s="36"/>
      <c r="DD83" s="36"/>
      <c r="DE83" s="36"/>
      <c r="DF83" s="36"/>
      <c r="DG83" s="36"/>
      <c r="DH83" s="36"/>
      <c r="DI83" s="36"/>
      <c r="DJ83" s="36"/>
      <c r="DK83" s="36"/>
      <c r="DL83" s="36"/>
      <c r="DM83" s="36"/>
      <c r="DN83" s="36"/>
      <c r="DO83" s="36"/>
      <c r="DP83" s="36"/>
      <c r="DQ83" s="36"/>
      <c r="DR83" s="36"/>
      <c r="DS83" s="36"/>
      <c r="DT83" s="36"/>
      <c r="DU83" s="36"/>
      <c r="DV83" s="40"/>
      <c r="DW83" s="52"/>
      <c r="DX83" s="36"/>
      <c r="DY83" s="36"/>
      <c r="DZ83" s="36"/>
      <c r="EA83" s="36"/>
      <c r="EB83" s="36"/>
      <c r="EC83" s="36"/>
      <c r="ED83" s="36"/>
      <c r="EE83" s="36"/>
      <c r="EF83" s="36"/>
      <c r="EG83" s="36"/>
      <c r="EH83" s="36"/>
      <c r="EI83" s="36"/>
      <c r="EJ83" s="36"/>
      <c r="EK83" s="36"/>
      <c r="EL83" s="36"/>
      <c r="EM83" s="36"/>
      <c r="EN83" s="36"/>
      <c r="EO83" s="36"/>
      <c r="EP83" s="36"/>
      <c r="EQ83" s="36"/>
      <c r="ER83" s="36"/>
      <c r="ES83" s="36"/>
      <c r="ET83" s="36"/>
      <c r="EU83" s="36"/>
      <c r="EV83" s="36"/>
      <c r="EW83" s="36"/>
      <c r="EX83" s="36"/>
      <c r="EY83" s="36"/>
      <c r="EZ83" s="36"/>
      <c r="FA83" s="53"/>
    </row>
    <row r="84" spans="1:157" x14ac:dyDescent="0.2">
      <c r="A84" s="18"/>
      <c r="B84" s="18"/>
      <c r="C84" s="19"/>
      <c r="D84" s="59"/>
      <c r="E84" s="19"/>
      <c r="G84" s="22"/>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3"/>
      <c r="AJ84" s="23"/>
      <c r="AK84" s="25"/>
      <c r="AL84" s="28"/>
      <c r="AM84" s="23"/>
      <c r="AN84" s="23"/>
      <c r="AO84" s="23"/>
      <c r="AP84" s="23"/>
      <c r="AQ84" s="23"/>
      <c r="AR84" s="23"/>
      <c r="AS84" s="23"/>
      <c r="AT84" s="23"/>
      <c r="AU84" s="23"/>
      <c r="AV84" s="23"/>
      <c r="AW84" s="23"/>
      <c r="AX84" s="23"/>
      <c r="AY84" s="23"/>
      <c r="AZ84" s="23"/>
      <c r="BA84" s="23"/>
      <c r="BB84" s="23"/>
      <c r="BC84" s="23"/>
      <c r="BD84" s="23"/>
      <c r="BE84" s="23"/>
      <c r="BF84" s="23"/>
      <c r="BG84" s="23"/>
      <c r="BH84" s="23"/>
      <c r="BI84" s="23"/>
      <c r="BJ84" s="23"/>
      <c r="BK84" s="23"/>
      <c r="BL84" s="23"/>
      <c r="BM84" s="25"/>
      <c r="BN84" s="35"/>
      <c r="BO84" s="36"/>
      <c r="BP84" s="36"/>
      <c r="BQ84" s="36"/>
      <c r="BR84" s="36"/>
      <c r="BS84" s="36"/>
      <c r="BT84" s="36"/>
      <c r="BU84" s="36"/>
      <c r="BV84" s="36"/>
      <c r="BW84" s="36"/>
      <c r="BX84" s="36"/>
      <c r="BY84" s="36"/>
      <c r="BZ84" s="36"/>
      <c r="CA84" s="36"/>
      <c r="CB84" s="36"/>
      <c r="CC84" s="36"/>
      <c r="CD84" s="36"/>
      <c r="CE84" s="36"/>
      <c r="CF84" s="36"/>
      <c r="CG84" s="36"/>
      <c r="CH84" s="36"/>
      <c r="CI84" s="36"/>
      <c r="CJ84" s="36"/>
      <c r="CK84" s="36"/>
      <c r="CL84" s="36"/>
      <c r="CM84" s="36"/>
      <c r="CN84" s="36"/>
      <c r="CO84" s="36"/>
      <c r="CP84" s="36"/>
      <c r="CQ84" s="36"/>
      <c r="CR84" s="40"/>
      <c r="CS84" s="44"/>
      <c r="CT84" s="36"/>
      <c r="CU84" s="36"/>
      <c r="CV84" s="36"/>
      <c r="CW84" s="36"/>
      <c r="CX84" s="36"/>
      <c r="CY84" s="36"/>
      <c r="CZ84" s="36"/>
      <c r="DA84" s="36"/>
      <c r="DB84" s="36"/>
      <c r="DC84" s="36"/>
      <c r="DD84" s="36"/>
      <c r="DE84" s="36"/>
      <c r="DF84" s="36"/>
      <c r="DG84" s="36"/>
      <c r="DH84" s="36"/>
      <c r="DI84" s="36"/>
      <c r="DJ84" s="36"/>
      <c r="DK84" s="36"/>
      <c r="DL84" s="36"/>
      <c r="DM84" s="36"/>
      <c r="DN84" s="36"/>
      <c r="DO84" s="36"/>
      <c r="DP84" s="36"/>
      <c r="DQ84" s="36"/>
      <c r="DR84" s="36"/>
      <c r="DS84" s="36"/>
      <c r="DT84" s="36"/>
      <c r="DU84" s="36"/>
      <c r="DV84" s="40"/>
      <c r="DW84" s="52"/>
      <c r="DX84" s="36"/>
      <c r="DY84" s="36"/>
      <c r="DZ84" s="36"/>
      <c r="EA84" s="36"/>
      <c r="EB84" s="36"/>
      <c r="EC84" s="36"/>
      <c r="ED84" s="36"/>
      <c r="EE84" s="36"/>
      <c r="EF84" s="36"/>
      <c r="EG84" s="36"/>
      <c r="EH84" s="36"/>
      <c r="EI84" s="36"/>
      <c r="EJ84" s="36"/>
      <c r="EK84" s="36"/>
      <c r="EL84" s="36"/>
      <c r="EM84" s="36"/>
      <c r="EN84" s="36"/>
      <c r="EO84" s="36"/>
      <c r="EP84" s="36"/>
      <c r="EQ84" s="36"/>
      <c r="ER84" s="36"/>
      <c r="ES84" s="36"/>
      <c r="ET84" s="36"/>
      <c r="EU84" s="36"/>
      <c r="EV84" s="36"/>
      <c r="EW84" s="36"/>
      <c r="EX84" s="36"/>
      <c r="EY84" s="36"/>
      <c r="EZ84" s="36"/>
      <c r="FA84" s="53"/>
    </row>
    <row r="85" spans="1:157" x14ac:dyDescent="0.2">
      <c r="A85" s="18"/>
      <c r="B85" s="18"/>
      <c r="C85" s="19"/>
      <c r="D85" s="59"/>
      <c r="E85" s="19"/>
      <c r="G85" s="22"/>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3"/>
      <c r="AK85" s="25"/>
      <c r="AL85" s="28"/>
      <c r="AM85" s="23"/>
      <c r="AN85" s="23"/>
      <c r="AO85" s="23"/>
      <c r="AP85" s="23"/>
      <c r="AQ85" s="23"/>
      <c r="AR85" s="23"/>
      <c r="AS85" s="23"/>
      <c r="AT85" s="23"/>
      <c r="AU85" s="23"/>
      <c r="AV85" s="23"/>
      <c r="AW85" s="23"/>
      <c r="AX85" s="23"/>
      <c r="AY85" s="23"/>
      <c r="AZ85" s="23"/>
      <c r="BA85" s="23"/>
      <c r="BB85" s="23"/>
      <c r="BC85" s="23"/>
      <c r="BD85" s="23"/>
      <c r="BE85" s="23"/>
      <c r="BF85" s="23"/>
      <c r="BG85" s="23"/>
      <c r="BH85" s="23"/>
      <c r="BI85" s="23"/>
      <c r="BJ85" s="23"/>
      <c r="BK85" s="23"/>
      <c r="BL85" s="23"/>
      <c r="BM85" s="25"/>
      <c r="BN85" s="35"/>
      <c r="BO85" s="36"/>
      <c r="BP85" s="36"/>
      <c r="BQ85" s="36"/>
      <c r="BR85" s="36"/>
      <c r="BS85" s="36"/>
      <c r="BT85" s="36"/>
      <c r="BU85" s="36"/>
      <c r="BV85" s="36"/>
      <c r="BW85" s="36"/>
      <c r="BX85" s="36"/>
      <c r="BY85" s="36"/>
      <c r="BZ85" s="36"/>
      <c r="CA85" s="36"/>
      <c r="CB85" s="36"/>
      <c r="CC85" s="36"/>
      <c r="CD85" s="36"/>
      <c r="CE85" s="36"/>
      <c r="CF85" s="36"/>
      <c r="CG85" s="36"/>
      <c r="CH85" s="36"/>
      <c r="CI85" s="36"/>
      <c r="CJ85" s="36"/>
      <c r="CK85" s="36"/>
      <c r="CL85" s="36"/>
      <c r="CM85" s="36"/>
      <c r="CN85" s="36"/>
      <c r="CO85" s="36"/>
      <c r="CP85" s="36"/>
      <c r="CQ85" s="36"/>
      <c r="CR85" s="40"/>
      <c r="CS85" s="44"/>
      <c r="CT85" s="36"/>
      <c r="CU85" s="36"/>
      <c r="CV85" s="36"/>
      <c r="CW85" s="36"/>
      <c r="CX85" s="36"/>
      <c r="CY85" s="36"/>
      <c r="CZ85" s="36"/>
      <c r="DA85" s="36"/>
      <c r="DB85" s="36"/>
      <c r="DC85" s="36"/>
      <c r="DD85" s="36"/>
      <c r="DE85" s="36"/>
      <c r="DF85" s="36"/>
      <c r="DG85" s="36"/>
      <c r="DH85" s="36"/>
      <c r="DI85" s="36"/>
      <c r="DJ85" s="36"/>
      <c r="DK85" s="36"/>
      <c r="DL85" s="36"/>
      <c r="DM85" s="36"/>
      <c r="DN85" s="36"/>
      <c r="DO85" s="36"/>
      <c r="DP85" s="36"/>
      <c r="DQ85" s="36"/>
      <c r="DR85" s="36"/>
      <c r="DS85" s="36"/>
      <c r="DT85" s="36"/>
      <c r="DU85" s="36"/>
      <c r="DV85" s="40"/>
      <c r="DW85" s="52"/>
      <c r="DX85" s="36"/>
      <c r="DY85" s="36"/>
      <c r="DZ85" s="36"/>
      <c r="EA85" s="36"/>
      <c r="EB85" s="36"/>
      <c r="EC85" s="36"/>
      <c r="ED85" s="36"/>
      <c r="EE85" s="36"/>
      <c r="EF85" s="36"/>
      <c r="EG85" s="36"/>
      <c r="EH85" s="36"/>
      <c r="EI85" s="36"/>
      <c r="EJ85" s="36"/>
      <c r="EK85" s="36"/>
      <c r="EL85" s="36"/>
      <c r="EM85" s="36"/>
      <c r="EN85" s="36"/>
      <c r="EO85" s="36"/>
      <c r="EP85" s="36"/>
      <c r="EQ85" s="36"/>
      <c r="ER85" s="36"/>
      <c r="ES85" s="36"/>
      <c r="ET85" s="36"/>
      <c r="EU85" s="36"/>
      <c r="EV85" s="36"/>
      <c r="EW85" s="36"/>
      <c r="EX85" s="36"/>
      <c r="EY85" s="36"/>
      <c r="EZ85" s="36"/>
      <c r="FA85" s="53"/>
    </row>
    <row r="86" spans="1:157" x14ac:dyDescent="0.2">
      <c r="A86" s="18"/>
      <c r="B86" s="18"/>
      <c r="C86" s="19"/>
      <c r="D86" s="59"/>
      <c r="E86" s="19"/>
      <c r="G86" s="22"/>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5"/>
      <c r="AL86" s="28"/>
      <c r="AM86" s="23"/>
      <c r="AN86" s="23"/>
      <c r="AO86" s="23"/>
      <c r="AP86" s="23"/>
      <c r="AQ86" s="23"/>
      <c r="AR86" s="23"/>
      <c r="AS86" s="23"/>
      <c r="AT86" s="23"/>
      <c r="AU86" s="23"/>
      <c r="AV86" s="23"/>
      <c r="AW86" s="23"/>
      <c r="AX86" s="23"/>
      <c r="AY86" s="23"/>
      <c r="AZ86" s="23"/>
      <c r="BA86" s="23"/>
      <c r="BB86" s="23"/>
      <c r="BC86" s="23"/>
      <c r="BD86" s="23"/>
      <c r="BE86" s="23"/>
      <c r="BF86" s="23"/>
      <c r="BG86" s="23"/>
      <c r="BH86" s="23"/>
      <c r="BI86" s="23"/>
      <c r="BJ86" s="23"/>
      <c r="BK86" s="23"/>
      <c r="BL86" s="23"/>
      <c r="BM86" s="25"/>
      <c r="BN86" s="35"/>
      <c r="BO86" s="36"/>
      <c r="BP86" s="36"/>
      <c r="BQ86" s="36"/>
      <c r="BR86" s="36"/>
      <c r="BS86" s="36"/>
      <c r="BT86" s="36"/>
      <c r="BU86" s="36"/>
      <c r="BV86" s="36"/>
      <c r="BW86" s="36"/>
      <c r="BX86" s="36"/>
      <c r="BY86" s="36"/>
      <c r="BZ86" s="36"/>
      <c r="CA86" s="36"/>
      <c r="CB86" s="36"/>
      <c r="CC86" s="36"/>
      <c r="CD86" s="36"/>
      <c r="CE86" s="36"/>
      <c r="CF86" s="36"/>
      <c r="CG86" s="36"/>
      <c r="CH86" s="36"/>
      <c r="CI86" s="36"/>
      <c r="CJ86" s="36"/>
      <c r="CK86" s="36"/>
      <c r="CL86" s="36"/>
      <c r="CM86" s="36"/>
      <c r="CN86" s="36"/>
      <c r="CO86" s="36"/>
      <c r="CP86" s="36"/>
      <c r="CQ86" s="36"/>
      <c r="CR86" s="40"/>
      <c r="CS86" s="44"/>
      <c r="CT86" s="36"/>
      <c r="CU86" s="36"/>
      <c r="CV86" s="36"/>
      <c r="CW86" s="36"/>
      <c r="CX86" s="36"/>
      <c r="CY86" s="36"/>
      <c r="CZ86" s="36"/>
      <c r="DA86" s="36"/>
      <c r="DB86" s="36"/>
      <c r="DC86" s="36"/>
      <c r="DD86" s="36"/>
      <c r="DE86" s="36"/>
      <c r="DF86" s="36"/>
      <c r="DG86" s="36"/>
      <c r="DH86" s="36"/>
      <c r="DI86" s="36"/>
      <c r="DJ86" s="36"/>
      <c r="DK86" s="36"/>
      <c r="DL86" s="36"/>
      <c r="DM86" s="36"/>
      <c r="DN86" s="36"/>
      <c r="DO86" s="36"/>
      <c r="DP86" s="36"/>
      <c r="DQ86" s="36"/>
      <c r="DR86" s="36"/>
      <c r="DS86" s="36"/>
      <c r="DT86" s="36"/>
      <c r="DU86" s="36"/>
      <c r="DV86" s="40"/>
      <c r="DW86" s="52"/>
      <c r="DX86" s="36"/>
      <c r="DY86" s="36"/>
      <c r="DZ86" s="36"/>
      <c r="EA86" s="36"/>
      <c r="EB86" s="36"/>
      <c r="EC86" s="36"/>
      <c r="ED86" s="36"/>
      <c r="EE86" s="36"/>
      <c r="EF86" s="36"/>
      <c r="EG86" s="36"/>
      <c r="EH86" s="36"/>
      <c r="EI86" s="36"/>
      <c r="EJ86" s="36"/>
      <c r="EK86" s="36"/>
      <c r="EL86" s="36"/>
      <c r="EM86" s="36"/>
      <c r="EN86" s="36"/>
      <c r="EO86" s="36"/>
      <c r="EP86" s="36"/>
      <c r="EQ86" s="36"/>
      <c r="ER86" s="36"/>
      <c r="ES86" s="36"/>
      <c r="ET86" s="36"/>
      <c r="EU86" s="36"/>
      <c r="EV86" s="36"/>
      <c r="EW86" s="36"/>
      <c r="EX86" s="36"/>
      <c r="EY86" s="36"/>
      <c r="EZ86" s="36"/>
      <c r="FA86" s="53"/>
    </row>
    <row r="87" spans="1:157" x14ac:dyDescent="0.2">
      <c r="A87" s="18"/>
      <c r="B87" s="18"/>
      <c r="C87" s="19"/>
      <c r="D87" s="59"/>
      <c r="E87" s="19"/>
      <c r="G87" s="22"/>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c r="AH87" s="23"/>
      <c r="AI87" s="23"/>
      <c r="AJ87" s="23"/>
      <c r="AK87" s="25"/>
      <c r="AL87" s="28"/>
      <c r="AM87" s="23"/>
      <c r="AN87" s="23"/>
      <c r="AO87" s="23"/>
      <c r="AP87" s="23"/>
      <c r="AQ87" s="23"/>
      <c r="AR87" s="23"/>
      <c r="AS87" s="23"/>
      <c r="AT87" s="23"/>
      <c r="AU87" s="23"/>
      <c r="AV87" s="23"/>
      <c r="AW87" s="23"/>
      <c r="AX87" s="23"/>
      <c r="AY87" s="23"/>
      <c r="AZ87" s="23"/>
      <c r="BA87" s="23"/>
      <c r="BB87" s="23"/>
      <c r="BC87" s="23"/>
      <c r="BD87" s="23"/>
      <c r="BE87" s="23"/>
      <c r="BF87" s="23"/>
      <c r="BG87" s="23"/>
      <c r="BH87" s="23"/>
      <c r="BI87" s="23"/>
      <c r="BJ87" s="23"/>
      <c r="BK87" s="23"/>
      <c r="BL87" s="23"/>
      <c r="BM87" s="25"/>
      <c r="BN87" s="35"/>
      <c r="BO87" s="36"/>
      <c r="BP87" s="36"/>
      <c r="BQ87" s="36"/>
      <c r="BR87" s="36"/>
      <c r="BS87" s="36"/>
      <c r="BT87" s="36"/>
      <c r="BU87" s="36"/>
      <c r="BV87" s="36"/>
      <c r="BW87" s="36"/>
      <c r="BX87" s="36"/>
      <c r="BY87" s="36"/>
      <c r="BZ87" s="36"/>
      <c r="CA87" s="36"/>
      <c r="CB87" s="36"/>
      <c r="CC87" s="36"/>
      <c r="CD87" s="36"/>
      <c r="CE87" s="36"/>
      <c r="CF87" s="36"/>
      <c r="CG87" s="36"/>
      <c r="CH87" s="36"/>
      <c r="CI87" s="36"/>
      <c r="CJ87" s="36"/>
      <c r="CK87" s="36"/>
      <c r="CL87" s="36"/>
      <c r="CM87" s="36"/>
      <c r="CN87" s="36"/>
      <c r="CO87" s="36"/>
      <c r="CP87" s="36"/>
      <c r="CQ87" s="36"/>
      <c r="CR87" s="40"/>
      <c r="CS87" s="44"/>
      <c r="CT87" s="36"/>
      <c r="CU87" s="36"/>
      <c r="CV87" s="36"/>
      <c r="CW87" s="36"/>
      <c r="CX87" s="36"/>
      <c r="CY87" s="36"/>
      <c r="CZ87" s="36"/>
      <c r="DA87" s="36"/>
      <c r="DB87" s="36"/>
      <c r="DC87" s="36"/>
      <c r="DD87" s="36"/>
      <c r="DE87" s="36"/>
      <c r="DF87" s="36"/>
      <c r="DG87" s="36"/>
      <c r="DH87" s="36"/>
      <c r="DI87" s="36"/>
      <c r="DJ87" s="36"/>
      <c r="DK87" s="36"/>
      <c r="DL87" s="36"/>
      <c r="DM87" s="36"/>
      <c r="DN87" s="36"/>
      <c r="DO87" s="36"/>
      <c r="DP87" s="36"/>
      <c r="DQ87" s="36"/>
      <c r="DR87" s="36"/>
      <c r="DS87" s="36"/>
      <c r="DT87" s="36"/>
      <c r="DU87" s="36"/>
      <c r="DV87" s="40"/>
      <c r="DW87" s="52"/>
      <c r="DX87" s="36"/>
      <c r="DY87" s="36"/>
      <c r="DZ87" s="36"/>
      <c r="EA87" s="36"/>
      <c r="EB87" s="36"/>
      <c r="EC87" s="36"/>
      <c r="ED87" s="36"/>
      <c r="EE87" s="36"/>
      <c r="EF87" s="36"/>
      <c r="EG87" s="36"/>
      <c r="EH87" s="36"/>
      <c r="EI87" s="36"/>
      <c r="EJ87" s="36"/>
      <c r="EK87" s="36"/>
      <c r="EL87" s="36"/>
      <c r="EM87" s="36"/>
      <c r="EN87" s="36"/>
      <c r="EO87" s="36"/>
      <c r="EP87" s="36"/>
      <c r="EQ87" s="36"/>
      <c r="ER87" s="36"/>
      <c r="ES87" s="36"/>
      <c r="ET87" s="36"/>
      <c r="EU87" s="36"/>
      <c r="EV87" s="36"/>
      <c r="EW87" s="36"/>
      <c r="EX87" s="36"/>
      <c r="EY87" s="36"/>
      <c r="EZ87" s="36"/>
      <c r="FA87" s="53"/>
    </row>
    <row r="88" spans="1:157" x14ac:dyDescent="0.2">
      <c r="A88" s="18"/>
      <c r="B88" s="18"/>
      <c r="C88" s="19"/>
      <c r="D88" s="59"/>
      <c r="E88" s="19"/>
      <c r="G88" s="22"/>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c r="AH88" s="23"/>
      <c r="AI88" s="23"/>
      <c r="AJ88" s="23"/>
      <c r="AK88" s="25"/>
      <c r="AL88" s="28"/>
      <c r="AM88" s="23"/>
      <c r="AN88" s="23"/>
      <c r="AO88" s="23"/>
      <c r="AP88" s="23"/>
      <c r="AQ88" s="23"/>
      <c r="AR88" s="23"/>
      <c r="AS88" s="23"/>
      <c r="AT88" s="23"/>
      <c r="AU88" s="23"/>
      <c r="AV88" s="23"/>
      <c r="AW88" s="23"/>
      <c r="AX88" s="23"/>
      <c r="AY88" s="23"/>
      <c r="AZ88" s="23"/>
      <c r="BA88" s="23"/>
      <c r="BB88" s="23"/>
      <c r="BC88" s="23"/>
      <c r="BD88" s="23"/>
      <c r="BE88" s="23"/>
      <c r="BF88" s="23"/>
      <c r="BG88" s="23"/>
      <c r="BH88" s="23"/>
      <c r="BI88" s="23"/>
      <c r="BJ88" s="23"/>
      <c r="BK88" s="23"/>
      <c r="BL88" s="23"/>
      <c r="BM88" s="25"/>
      <c r="BN88" s="35"/>
      <c r="BO88" s="36"/>
      <c r="BP88" s="36"/>
      <c r="BQ88" s="36"/>
      <c r="BR88" s="36"/>
      <c r="BS88" s="36"/>
      <c r="BT88" s="36"/>
      <c r="BU88" s="36"/>
      <c r="BV88" s="36"/>
      <c r="BW88" s="36"/>
      <c r="BX88" s="36"/>
      <c r="BY88" s="36"/>
      <c r="BZ88" s="36"/>
      <c r="CA88" s="36"/>
      <c r="CB88" s="36"/>
      <c r="CC88" s="36"/>
      <c r="CD88" s="36"/>
      <c r="CE88" s="36"/>
      <c r="CF88" s="36"/>
      <c r="CG88" s="36"/>
      <c r="CH88" s="36"/>
      <c r="CI88" s="36"/>
      <c r="CJ88" s="36"/>
      <c r="CK88" s="36"/>
      <c r="CL88" s="36"/>
      <c r="CM88" s="36"/>
      <c r="CN88" s="36"/>
      <c r="CO88" s="36"/>
      <c r="CP88" s="36"/>
      <c r="CQ88" s="36"/>
      <c r="CR88" s="40"/>
      <c r="CS88" s="44"/>
      <c r="CT88" s="36"/>
      <c r="CU88" s="36"/>
      <c r="CV88" s="36"/>
      <c r="CW88" s="36"/>
      <c r="CX88" s="36"/>
      <c r="CY88" s="36"/>
      <c r="CZ88" s="36"/>
      <c r="DA88" s="36"/>
      <c r="DB88" s="36"/>
      <c r="DC88" s="36"/>
      <c r="DD88" s="36"/>
      <c r="DE88" s="36"/>
      <c r="DF88" s="36"/>
      <c r="DG88" s="36"/>
      <c r="DH88" s="36"/>
      <c r="DI88" s="36"/>
      <c r="DJ88" s="36"/>
      <c r="DK88" s="36"/>
      <c r="DL88" s="36"/>
      <c r="DM88" s="36"/>
      <c r="DN88" s="36"/>
      <c r="DO88" s="36"/>
      <c r="DP88" s="36"/>
      <c r="DQ88" s="36"/>
      <c r="DR88" s="36"/>
      <c r="DS88" s="36"/>
      <c r="DT88" s="36"/>
      <c r="DU88" s="36"/>
      <c r="DV88" s="40"/>
      <c r="DW88" s="52"/>
      <c r="DX88" s="36"/>
      <c r="DY88" s="36"/>
      <c r="DZ88" s="36"/>
      <c r="EA88" s="36"/>
      <c r="EB88" s="36"/>
      <c r="EC88" s="36"/>
      <c r="ED88" s="36"/>
      <c r="EE88" s="36"/>
      <c r="EF88" s="36"/>
      <c r="EG88" s="36"/>
      <c r="EH88" s="36"/>
      <c r="EI88" s="36"/>
      <c r="EJ88" s="36"/>
      <c r="EK88" s="36"/>
      <c r="EL88" s="36"/>
      <c r="EM88" s="36"/>
      <c r="EN88" s="36"/>
      <c r="EO88" s="36"/>
      <c r="EP88" s="36"/>
      <c r="EQ88" s="36"/>
      <c r="ER88" s="36"/>
      <c r="ES88" s="36"/>
      <c r="ET88" s="36"/>
      <c r="EU88" s="36"/>
      <c r="EV88" s="36"/>
      <c r="EW88" s="36"/>
      <c r="EX88" s="36"/>
      <c r="EY88" s="36"/>
      <c r="EZ88" s="36"/>
      <c r="FA88" s="53"/>
    </row>
    <row r="89" spans="1:157" x14ac:dyDescent="0.2">
      <c r="A89" s="18"/>
      <c r="B89" s="18"/>
      <c r="C89" s="19"/>
      <c r="D89" s="59"/>
      <c r="E89" s="19"/>
      <c r="G89" s="22"/>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c r="AH89" s="23"/>
      <c r="AI89" s="23"/>
      <c r="AJ89" s="23"/>
      <c r="AK89" s="25"/>
      <c r="AL89" s="28"/>
      <c r="AM89" s="23"/>
      <c r="AN89" s="23"/>
      <c r="AO89" s="23"/>
      <c r="AP89" s="23"/>
      <c r="AQ89" s="23"/>
      <c r="AR89" s="23"/>
      <c r="AS89" s="23"/>
      <c r="AT89" s="23"/>
      <c r="AU89" s="23"/>
      <c r="AV89" s="23"/>
      <c r="AW89" s="23"/>
      <c r="AX89" s="23"/>
      <c r="AY89" s="23"/>
      <c r="AZ89" s="23"/>
      <c r="BA89" s="23"/>
      <c r="BB89" s="23"/>
      <c r="BC89" s="23"/>
      <c r="BD89" s="23"/>
      <c r="BE89" s="23"/>
      <c r="BF89" s="23"/>
      <c r="BG89" s="23"/>
      <c r="BH89" s="23"/>
      <c r="BI89" s="23"/>
      <c r="BJ89" s="23"/>
      <c r="BK89" s="23"/>
      <c r="BL89" s="23"/>
      <c r="BM89" s="25"/>
      <c r="BN89" s="35"/>
      <c r="BO89" s="36"/>
      <c r="BP89" s="36"/>
      <c r="BQ89" s="36"/>
      <c r="BR89" s="36"/>
      <c r="BS89" s="36"/>
      <c r="BT89" s="36"/>
      <c r="BU89" s="36"/>
      <c r="BV89" s="36"/>
      <c r="BW89" s="36"/>
      <c r="BX89" s="36"/>
      <c r="BY89" s="36"/>
      <c r="BZ89" s="36"/>
      <c r="CA89" s="36"/>
      <c r="CB89" s="36"/>
      <c r="CC89" s="36"/>
      <c r="CD89" s="36"/>
      <c r="CE89" s="36"/>
      <c r="CF89" s="36"/>
      <c r="CG89" s="36"/>
      <c r="CH89" s="36"/>
      <c r="CI89" s="36"/>
      <c r="CJ89" s="36"/>
      <c r="CK89" s="36"/>
      <c r="CL89" s="36"/>
      <c r="CM89" s="36"/>
      <c r="CN89" s="36"/>
      <c r="CO89" s="36"/>
      <c r="CP89" s="36"/>
      <c r="CQ89" s="36"/>
      <c r="CR89" s="40"/>
      <c r="CS89" s="44"/>
      <c r="CT89" s="36"/>
      <c r="CU89" s="36"/>
      <c r="CV89" s="36"/>
      <c r="CW89" s="36"/>
      <c r="CX89" s="36"/>
      <c r="CY89" s="36"/>
      <c r="CZ89" s="36"/>
      <c r="DA89" s="36"/>
      <c r="DB89" s="36"/>
      <c r="DC89" s="36"/>
      <c r="DD89" s="36"/>
      <c r="DE89" s="36"/>
      <c r="DF89" s="36"/>
      <c r="DG89" s="36"/>
      <c r="DH89" s="36"/>
      <c r="DI89" s="36"/>
      <c r="DJ89" s="36"/>
      <c r="DK89" s="36"/>
      <c r="DL89" s="36"/>
      <c r="DM89" s="36"/>
      <c r="DN89" s="36"/>
      <c r="DO89" s="36"/>
      <c r="DP89" s="36"/>
      <c r="DQ89" s="36"/>
      <c r="DR89" s="36"/>
      <c r="DS89" s="36"/>
      <c r="DT89" s="36"/>
      <c r="DU89" s="36"/>
      <c r="DV89" s="40"/>
      <c r="DW89" s="52"/>
      <c r="DX89" s="36"/>
      <c r="DY89" s="36"/>
      <c r="DZ89" s="36"/>
      <c r="EA89" s="36"/>
      <c r="EB89" s="36"/>
      <c r="EC89" s="36"/>
      <c r="ED89" s="36"/>
      <c r="EE89" s="36"/>
      <c r="EF89" s="36"/>
      <c r="EG89" s="36"/>
      <c r="EH89" s="36"/>
      <c r="EI89" s="36"/>
      <c r="EJ89" s="36"/>
      <c r="EK89" s="36"/>
      <c r="EL89" s="36"/>
      <c r="EM89" s="36"/>
      <c r="EN89" s="36"/>
      <c r="EO89" s="36"/>
      <c r="EP89" s="36"/>
      <c r="EQ89" s="36"/>
      <c r="ER89" s="36"/>
      <c r="ES89" s="36"/>
      <c r="ET89" s="36"/>
      <c r="EU89" s="36"/>
      <c r="EV89" s="36"/>
      <c r="EW89" s="36"/>
      <c r="EX89" s="36"/>
      <c r="EY89" s="36"/>
      <c r="EZ89" s="36"/>
      <c r="FA89" s="53"/>
    </row>
    <row r="90" spans="1:157" x14ac:dyDescent="0.2">
      <c r="A90" s="18"/>
      <c r="B90" s="18"/>
      <c r="C90" s="19"/>
      <c r="D90" s="59"/>
      <c r="E90" s="19"/>
      <c r="G90" s="22"/>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5"/>
      <c r="AL90" s="28"/>
      <c r="AM90" s="23"/>
      <c r="AN90" s="23"/>
      <c r="AO90" s="23"/>
      <c r="AP90" s="23"/>
      <c r="AQ90" s="23"/>
      <c r="AR90" s="23"/>
      <c r="AS90" s="23"/>
      <c r="AT90" s="23"/>
      <c r="AU90" s="23"/>
      <c r="AV90" s="23"/>
      <c r="AW90" s="23"/>
      <c r="AX90" s="23"/>
      <c r="AY90" s="23"/>
      <c r="AZ90" s="23"/>
      <c r="BA90" s="23"/>
      <c r="BB90" s="23"/>
      <c r="BC90" s="23"/>
      <c r="BD90" s="23"/>
      <c r="BE90" s="23"/>
      <c r="BF90" s="23"/>
      <c r="BG90" s="23"/>
      <c r="BH90" s="23"/>
      <c r="BI90" s="23"/>
      <c r="BJ90" s="23"/>
      <c r="BK90" s="23"/>
      <c r="BL90" s="23"/>
      <c r="BM90" s="25"/>
      <c r="BN90" s="35"/>
      <c r="BO90" s="36"/>
      <c r="BP90" s="36"/>
      <c r="BQ90" s="36"/>
      <c r="BR90" s="36"/>
      <c r="BS90" s="36"/>
      <c r="BT90" s="36"/>
      <c r="BU90" s="36"/>
      <c r="BV90" s="36"/>
      <c r="BW90" s="36"/>
      <c r="BX90" s="36"/>
      <c r="BY90" s="36"/>
      <c r="BZ90" s="36"/>
      <c r="CA90" s="36"/>
      <c r="CB90" s="36"/>
      <c r="CC90" s="36"/>
      <c r="CD90" s="36"/>
      <c r="CE90" s="36"/>
      <c r="CF90" s="36"/>
      <c r="CG90" s="36"/>
      <c r="CH90" s="36"/>
      <c r="CI90" s="36"/>
      <c r="CJ90" s="36"/>
      <c r="CK90" s="36"/>
      <c r="CL90" s="36"/>
      <c r="CM90" s="36"/>
      <c r="CN90" s="36"/>
      <c r="CO90" s="36"/>
      <c r="CP90" s="36"/>
      <c r="CQ90" s="36"/>
      <c r="CR90" s="40"/>
      <c r="CS90" s="44"/>
      <c r="CT90" s="36"/>
      <c r="CU90" s="36"/>
      <c r="CV90" s="36"/>
      <c r="CW90" s="36"/>
      <c r="CX90" s="36"/>
      <c r="CY90" s="36"/>
      <c r="CZ90" s="36"/>
      <c r="DA90" s="36"/>
      <c r="DB90" s="36"/>
      <c r="DC90" s="36"/>
      <c r="DD90" s="36"/>
      <c r="DE90" s="36"/>
      <c r="DF90" s="36"/>
      <c r="DG90" s="36"/>
      <c r="DH90" s="36"/>
      <c r="DI90" s="36"/>
      <c r="DJ90" s="36"/>
      <c r="DK90" s="36"/>
      <c r="DL90" s="36"/>
      <c r="DM90" s="36"/>
      <c r="DN90" s="36"/>
      <c r="DO90" s="36"/>
      <c r="DP90" s="36"/>
      <c r="DQ90" s="36"/>
      <c r="DR90" s="36"/>
      <c r="DS90" s="36"/>
      <c r="DT90" s="36"/>
      <c r="DU90" s="36"/>
      <c r="DV90" s="40"/>
      <c r="DW90" s="52"/>
      <c r="DX90" s="36"/>
      <c r="DY90" s="36"/>
      <c r="DZ90" s="36"/>
      <c r="EA90" s="36"/>
      <c r="EB90" s="36"/>
      <c r="EC90" s="36"/>
      <c r="ED90" s="36"/>
      <c r="EE90" s="36"/>
      <c r="EF90" s="36"/>
      <c r="EG90" s="36"/>
      <c r="EH90" s="36"/>
      <c r="EI90" s="36"/>
      <c r="EJ90" s="36"/>
      <c r="EK90" s="36"/>
      <c r="EL90" s="36"/>
      <c r="EM90" s="36"/>
      <c r="EN90" s="36"/>
      <c r="EO90" s="36"/>
      <c r="EP90" s="36"/>
      <c r="EQ90" s="36"/>
      <c r="ER90" s="36"/>
      <c r="ES90" s="36"/>
      <c r="ET90" s="36"/>
      <c r="EU90" s="36"/>
      <c r="EV90" s="36"/>
      <c r="EW90" s="36"/>
      <c r="EX90" s="36"/>
      <c r="EY90" s="36"/>
      <c r="EZ90" s="36"/>
      <c r="FA90" s="53"/>
    </row>
    <row r="91" spans="1:157" x14ac:dyDescent="0.2">
      <c r="A91" s="18"/>
      <c r="B91" s="18"/>
      <c r="C91" s="19"/>
      <c r="D91" s="59"/>
      <c r="E91" s="19"/>
      <c r="G91" s="22"/>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c r="AH91" s="23"/>
      <c r="AI91" s="23"/>
      <c r="AJ91" s="23"/>
      <c r="AK91" s="25"/>
      <c r="AL91" s="28"/>
      <c r="AM91" s="23"/>
      <c r="AN91" s="23"/>
      <c r="AO91" s="23"/>
      <c r="AP91" s="23"/>
      <c r="AQ91" s="23"/>
      <c r="AR91" s="23"/>
      <c r="AS91" s="23"/>
      <c r="AT91" s="23"/>
      <c r="AU91" s="23"/>
      <c r="AV91" s="23"/>
      <c r="AW91" s="23"/>
      <c r="AX91" s="23"/>
      <c r="AY91" s="23"/>
      <c r="AZ91" s="23"/>
      <c r="BA91" s="23"/>
      <c r="BB91" s="23"/>
      <c r="BC91" s="23"/>
      <c r="BD91" s="23"/>
      <c r="BE91" s="23"/>
      <c r="BF91" s="23"/>
      <c r="BG91" s="23"/>
      <c r="BH91" s="23"/>
      <c r="BI91" s="23"/>
      <c r="BJ91" s="23"/>
      <c r="BK91" s="23"/>
      <c r="BL91" s="23"/>
      <c r="BM91" s="25"/>
      <c r="BN91" s="35"/>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40"/>
      <c r="CS91" s="44"/>
      <c r="CT91" s="36"/>
      <c r="CU91" s="36"/>
      <c r="CV91" s="36"/>
      <c r="CW91" s="36"/>
      <c r="CX91" s="36"/>
      <c r="CY91" s="36"/>
      <c r="CZ91" s="36"/>
      <c r="DA91" s="36"/>
      <c r="DB91" s="36"/>
      <c r="DC91" s="36"/>
      <c r="DD91" s="36"/>
      <c r="DE91" s="36"/>
      <c r="DF91" s="36"/>
      <c r="DG91" s="36"/>
      <c r="DH91" s="36"/>
      <c r="DI91" s="36"/>
      <c r="DJ91" s="36"/>
      <c r="DK91" s="36"/>
      <c r="DL91" s="36"/>
      <c r="DM91" s="36"/>
      <c r="DN91" s="36"/>
      <c r="DO91" s="36"/>
      <c r="DP91" s="36"/>
      <c r="DQ91" s="36"/>
      <c r="DR91" s="36"/>
      <c r="DS91" s="36"/>
      <c r="DT91" s="36"/>
      <c r="DU91" s="36"/>
      <c r="DV91" s="40"/>
      <c r="DW91" s="52"/>
      <c r="DX91" s="36"/>
      <c r="DY91" s="36"/>
      <c r="DZ91" s="36"/>
      <c r="EA91" s="36"/>
      <c r="EB91" s="36"/>
      <c r="EC91" s="36"/>
      <c r="ED91" s="36"/>
      <c r="EE91" s="36"/>
      <c r="EF91" s="36"/>
      <c r="EG91" s="36"/>
      <c r="EH91" s="36"/>
      <c r="EI91" s="36"/>
      <c r="EJ91" s="36"/>
      <c r="EK91" s="36"/>
      <c r="EL91" s="36"/>
      <c r="EM91" s="36"/>
      <c r="EN91" s="36"/>
      <c r="EO91" s="36"/>
      <c r="EP91" s="36"/>
      <c r="EQ91" s="36"/>
      <c r="ER91" s="36"/>
      <c r="ES91" s="36"/>
      <c r="ET91" s="36"/>
      <c r="EU91" s="36"/>
      <c r="EV91" s="36"/>
      <c r="EW91" s="36"/>
      <c r="EX91" s="36"/>
      <c r="EY91" s="36"/>
      <c r="EZ91" s="36"/>
      <c r="FA91" s="53"/>
    </row>
    <row r="92" spans="1:157" x14ac:dyDescent="0.2">
      <c r="A92" s="18"/>
      <c r="B92" s="18"/>
      <c r="C92" s="19"/>
      <c r="D92" s="59"/>
      <c r="E92" s="19"/>
      <c r="G92" s="22"/>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c r="AH92" s="23"/>
      <c r="AI92" s="23"/>
      <c r="AJ92" s="23"/>
      <c r="AK92" s="25"/>
      <c r="AL92" s="28"/>
      <c r="AM92" s="23"/>
      <c r="AN92" s="23"/>
      <c r="AO92" s="23"/>
      <c r="AP92" s="23"/>
      <c r="AQ92" s="23"/>
      <c r="AR92" s="23"/>
      <c r="AS92" s="23"/>
      <c r="AT92" s="23"/>
      <c r="AU92" s="23"/>
      <c r="AV92" s="23"/>
      <c r="AW92" s="23"/>
      <c r="AX92" s="23"/>
      <c r="AY92" s="23"/>
      <c r="AZ92" s="23"/>
      <c r="BA92" s="23"/>
      <c r="BB92" s="23"/>
      <c r="BC92" s="23"/>
      <c r="BD92" s="23"/>
      <c r="BE92" s="23"/>
      <c r="BF92" s="23"/>
      <c r="BG92" s="23"/>
      <c r="BH92" s="23"/>
      <c r="BI92" s="23"/>
      <c r="BJ92" s="23"/>
      <c r="BK92" s="23"/>
      <c r="BL92" s="23"/>
      <c r="BM92" s="25"/>
      <c r="BN92" s="35"/>
      <c r="BO92" s="36"/>
      <c r="BP92" s="36"/>
      <c r="BQ92" s="36"/>
      <c r="BR92" s="36"/>
      <c r="BS92" s="36"/>
      <c r="BT92" s="36"/>
      <c r="BU92" s="36"/>
      <c r="BV92" s="36"/>
      <c r="BW92" s="36"/>
      <c r="BX92" s="36"/>
      <c r="BY92" s="36"/>
      <c r="BZ92" s="36"/>
      <c r="CA92" s="36"/>
      <c r="CB92" s="36"/>
      <c r="CC92" s="36"/>
      <c r="CD92" s="36"/>
      <c r="CE92" s="36"/>
      <c r="CF92" s="36"/>
      <c r="CG92" s="36"/>
      <c r="CH92" s="36"/>
      <c r="CI92" s="36"/>
      <c r="CJ92" s="36"/>
      <c r="CK92" s="36"/>
      <c r="CL92" s="36"/>
      <c r="CM92" s="36"/>
      <c r="CN92" s="36"/>
      <c r="CO92" s="36"/>
      <c r="CP92" s="36"/>
      <c r="CQ92" s="36"/>
      <c r="CR92" s="40"/>
      <c r="CS92" s="44"/>
      <c r="CT92" s="36"/>
      <c r="CU92" s="36"/>
      <c r="CV92" s="36"/>
      <c r="CW92" s="36"/>
      <c r="CX92" s="36"/>
      <c r="CY92" s="36"/>
      <c r="CZ92" s="36"/>
      <c r="DA92" s="36"/>
      <c r="DB92" s="36"/>
      <c r="DC92" s="36"/>
      <c r="DD92" s="36"/>
      <c r="DE92" s="36"/>
      <c r="DF92" s="36"/>
      <c r="DG92" s="36"/>
      <c r="DH92" s="36"/>
      <c r="DI92" s="36"/>
      <c r="DJ92" s="36"/>
      <c r="DK92" s="36"/>
      <c r="DL92" s="36"/>
      <c r="DM92" s="36"/>
      <c r="DN92" s="36"/>
      <c r="DO92" s="36"/>
      <c r="DP92" s="36"/>
      <c r="DQ92" s="36"/>
      <c r="DR92" s="36"/>
      <c r="DS92" s="36"/>
      <c r="DT92" s="36"/>
      <c r="DU92" s="36"/>
      <c r="DV92" s="40"/>
      <c r="DW92" s="52"/>
      <c r="DX92" s="36"/>
      <c r="DY92" s="36"/>
      <c r="DZ92" s="36"/>
      <c r="EA92" s="36"/>
      <c r="EB92" s="36"/>
      <c r="EC92" s="36"/>
      <c r="ED92" s="36"/>
      <c r="EE92" s="36"/>
      <c r="EF92" s="36"/>
      <c r="EG92" s="36"/>
      <c r="EH92" s="36"/>
      <c r="EI92" s="36"/>
      <c r="EJ92" s="36"/>
      <c r="EK92" s="36"/>
      <c r="EL92" s="36"/>
      <c r="EM92" s="36"/>
      <c r="EN92" s="36"/>
      <c r="EO92" s="36"/>
      <c r="EP92" s="36"/>
      <c r="EQ92" s="36"/>
      <c r="ER92" s="36"/>
      <c r="ES92" s="36"/>
      <c r="ET92" s="36"/>
      <c r="EU92" s="36"/>
      <c r="EV92" s="36"/>
      <c r="EW92" s="36"/>
      <c r="EX92" s="36"/>
      <c r="EY92" s="36"/>
      <c r="EZ92" s="36"/>
      <c r="FA92" s="53"/>
    </row>
    <row r="93" spans="1:157" x14ac:dyDescent="0.2">
      <c r="A93" s="18"/>
      <c r="B93" s="18"/>
      <c r="C93" s="19"/>
      <c r="D93" s="59"/>
      <c r="E93" s="19"/>
      <c r="G93" s="22"/>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c r="AH93" s="23"/>
      <c r="AI93" s="23"/>
      <c r="AJ93" s="23"/>
      <c r="AK93" s="25"/>
      <c r="AL93" s="28"/>
      <c r="AM93" s="23"/>
      <c r="AN93" s="23"/>
      <c r="AO93" s="23"/>
      <c r="AP93" s="23"/>
      <c r="AQ93" s="23"/>
      <c r="AR93" s="23"/>
      <c r="AS93" s="23"/>
      <c r="AT93" s="23"/>
      <c r="AU93" s="23"/>
      <c r="AV93" s="23"/>
      <c r="AW93" s="23"/>
      <c r="AX93" s="23"/>
      <c r="AY93" s="23"/>
      <c r="AZ93" s="23"/>
      <c r="BA93" s="23"/>
      <c r="BB93" s="23"/>
      <c r="BC93" s="23"/>
      <c r="BD93" s="23"/>
      <c r="BE93" s="23"/>
      <c r="BF93" s="23"/>
      <c r="BG93" s="23"/>
      <c r="BH93" s="23"/>
      <c r="BI93" s="23"/>
      <c r="BJ93" s="23"/>
      <c r="BK93" s="23"/>
      <c r="BL93" s="23"/>
      <c r="BM93" s="25"/>
      <c r="BN93" s="35"/>
      <c r="BO93" s="36"/>
      <c r="BP93" s="36"/>
      <c r="BQ93" s="36"/>
      <c r="BR93" s="36"/>
      <c r="BS93" s="36"/>
      <c r="BT93" s="36"/>
      <c r="BU93" s="36"/>
      <c r="BV93" s="36"/>
      <c r="BW93" s="36"/>
      <c r="BX93" s="36"/>
      <c r="BY93" s="36"/>
      <c r="BZ93" s="36"/>
      <c r="CA93" s="36"/>
      <c r="CB93" s="36"/>
      <c r="CC93" s="36"/>
      <c r="CD93" s="36"/>
      <c r="CE93" s="36"/>
      <c r="CF93" s="36"/>
      <c r="CG93" s="36"/>
      <c r="CH93" s="36"/>
      <c r="CI93" s="36"/>
      <c r="CJ93" s="36"/>
      <c r="CK93" s="36"/>
      <c r="CL93" s="36"/>
      <c r="CM93" s="36"/>
      <c r="CN93" s="36"/>
      <c r="CO93" s="36"/>
      <c r="CP93" s="36"/>
      <c r="CQ93" s="36"/>
      <c r="CR93" s="40"/>
      <c r="CS93" s="44"/>
      <c r="CT93" s="36"/>
      <c r="CU93" s="36"/>
      <c r="CV93" s="36"/>
      <c r="CW93" s="36"/>
      <c r="CX93" s="36"/>
      <c r="CY93" s="36"/>
      <c r="CZ93" s="36"/>
      <c r="DA93" s="36"/>
      <c r="DB93" s="36"/>
      <c r="DC93" s="36"/>
      <c r="DD93" s="36"/>
      <c r="DE93" s="36"/>
      <c r="DF93" s="36"/>
      <c r="DG93" s="36"/>
      <c r="DH93" s="36"/>
      <c r="DI93" s="36"/>
      <c r="DJ93" s="36"/>
      <c r="DK93" s="36"/>
      <c r="DL93" s="36"/>
      <c r="DM93" s="36"/>
      <c r="DN93" s="36"/>
      <c r="DO93" s="36"/>
      <c r="DP93" s="36"/>
      <c r="DQ93" s="36"/>
      <c r="DR93" s="36"/>
      <c r="DS93" s="36"/>
      <c r="DT93" s="36"/>
      <c r="DU93" s="36"/>
      <c r="DV93" s="40"/>
      <c r="DW93" s="52"/>
      <c r="DX93" s="36"/>
      <c r="DY93" s="36"/>
      <c r="DZ93" s="36"/>
      <c r="EA93" s="36"/>
      <c r="EB93" s="36"/>
      <c r="EC93" s="36"/>
      <c r="ED93" s="36"/>
      <c r="EE93" s="36"/>
      <c r="EF93" s="36"/>
      <c r="EG93" s="36"/>
      <c r="EH93" s="36"/>
      <c r="EI93" s="36"/>
      <c r="EJ93" s="36"/>
      <c r="EK93" s="36"/>
      <c r="EL93" s="36"/>
      <c r="EM93" s="36"/>
      <c r="EN93" s="36"/>
      <c r="EO93" s="36"/>
      <c r="EP93" s="36"/>
      <c r="EQ93" s="36"/>
      <c r="ER93" s="36"/>
      <c r="ES93" s="36"/>
      <c r="ET93" s="36"/>
      <c r="EU93" s="36"/>
      <c r="EV93" s="36"/>
      <c r="EW93" s="36"/>
      <c r="EX93" s="36"/>
      <c r="EY93" s="36"/>
      <c r="EZ93" s="36"/>
      <c r="FA93" s="53"/>
    </row>
    <row r="94" spans="1:157" x14ac:dyDescent="0.2">
      <c r="A94" s="18"/>
      <c r="B94" s="18"/>
      <c r="C94" s="19"/>
      <c r="D94" s="59"/>
      <c r="E94" s="19"/>
      <c r="G94" s="22"/>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c r="AH94" s="23"/>
      <c r="AI94" s="23"/>
      <c r="AJ94" s="23"/>
      <c r="AK94" s="25"/>
      <c r="AL94" s="28"/>
      <c r="AM94" s="23"/>
      <c r="AN94" s="23"/>
      <c r="AO94" s="23"/>
      <c r="AP94" s="23"/>
      <c r="AQ94" s="23"/>
      <c r="AR94" s="23"/>
      <c r="AS94" s="23"/>
      <c r="AT94" s="23"/>
      <c r="AU94" s="23"/>
      <c r="AV94" s="23"/>
      <c r="AW94" s="23"/>
      <c r="AX94" s="23"/>
      <c r="AY94" s="23"/>
      <c r="AZ94" s="23"/>
      <c r="BA94" s="23"/>
      <c r="BB94" s="23"/>
      <c r="BC94" s="23"/>
      <c r="BD94" s="23"/>
      <c r="BE94" s="23"/>
      <c r="BF94" s="23"/>
      <c r="BG94" s="23"/>
      <c r="BH94" s="23"/>
      <c r="BI94" s="23"/>
      <c r="BJ94" s="23"/>
      <c r="BK94" s="23"/>
      <c r="BL94" s="23"/>
      <c r="BM94" s="25"/>
      <c r="BN94" s="35"/>
      <c r="BO94" s="36"/>
      <c r="BP94" s="36"/>
      <c r="BQ94" s="36"/>
      <c r="BR94" s="36"/>
      <c r="BS94" s="36"/>
      <c r="BT94" s="36"/>
      <c r="BU94" s="36"/>
      <c r="BV94" s="36"/>
      <c r="BW94" s="36"/>
      <c r="BX94" s="36"/>
      <c r="BY94" s="36"/>
      <c r="BZ94" s="36"/>
      <c r="CA94" s="36"/>
      <c r="CB94" s="36"/>
      <c r="CC94" s="36"/>
      <c r="CD94" s="36"/>
      <c r="CE94" s="36"/>
      <c r="CF94" s="36"/>
      <c r="CG94" s="36"/>
      <c r="CH94" s="36"/>
      <c r="CI94" s="36"/>
      <c r="CJ94" s="36"/>
      <c r="CK94" s="36"/>
      <c r="CL94" s="36"/>
      <c r="CM94" s="36"/>
      <c r="CN94" s="36"/>
      <c r="CO94" s="36"/>
      <c r="CP94" s="36"/>
      <c r="CQ94" s="36"/>
      <c r="CR94" s="40"/>
      <c r="CS94" s="44"/>
      <c r="CT94" s="36"/>
      <c r="CU94" s="36"/>
      <c r="CV94" s="36"/>
      <c r="CW94" s="36"/>
      <c r="CX94" s="36"/>
      <c r="CY94" s="36"/>
      <c r="CZ94" s="36"/>
      <c r="DA94" s="36"/>
      <c r="DB94" s="36"/>
      <c r="DC94" s="36"/>
      <c r="DD94" s="36"/>
      <c r="DE94" s="36"/>
      <c r="DF94" s="36"/>
      <c r="DG94" s="36"/>
      <c r="DH94" s="36"/>
      <c r="DI94" s="36"/>
      <c r="DJ94" s="36"/>
      <c r="DK94" s="36"/>
      <c r="DL94" s="36"/>
      <c r="DM94" s="36"/>
      <c r="DN94" s="36"/>
      <c r="DO94" s="36"/>
      <c r="DP94" s="36"/>
      <c r="DQ94" s="36"/>
      <c r="DR94" s="36"/>
      <c r="DS94" s="36"/>
      <c r="DT94" s="36"/>
      <c r="DU94" s="36"/>
      <c r="DV94" s="40"/>
      <c r="DW94" s="52"/>
      <c r="DX94" s="36"/>
      <c r="DY94" s="36"/>
      <c r="DZ94" s="36"/>
      <c r="EA94" s="36"/>
      <c r="EB94" s="36"/>
      <c r="EC94" s="36"/>
      <c r="ED94" s="36"/>
      <c r="EE94" s="36"/>
      <c r="EF94" s="36"/>
      <c r="EG94" s="36"/>
      <c r="EH94" s="36"/>
      <c r="EI94" s="36"/>
      <c r="EJ94" s="36"/>
      <c r="EK94" s="36"/>
      <c r="EL94" s="36"/>
      <c r="EM94" s="36"/>
      <c r="EN94" s="36"/>
      <c r="EO94" s="36"/>
      <c r="EP94" s="36"/>
      <c r="EQ94" s="36"/>
      <c r="ER94" s="36"/>
      <c r="ES94" s="36"/>
      <c r="ET94" s="36"/>
      <c r="EU94" s="36"/>
      <c r="EV94" s="36"/>
      <c r="EW94" s="36"/>
      <c r="EX94" s="36"/>
      <c r="EY94" s="36"/>
      <c r="EZ94" s="36"/>
      <c r="FA94" s="53"/>
    </row>
    <row r="95" spans="1:157" x14ac:dyDescent="0.2">
      <c r="A95" s="18"/>
      <c r="B95" s="18"/>
      <c r="C95" s="19"/>
      <c r="D95" s="59"/>
      <c r="E95" s="19"/>
      <c r="G95" s="22"/>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5"/>
      <c r="AL95" s="28"/>
      <c r="AM95" s="23"/>
      <c r="AN95" s="23"/>
      <c r="AO95" s="23"/>
      <c r="AP95" s="23"/>
      <c r="AQ95" s="23"/>
      <c r="AR95" s="23"/>
      <c r="AS95" s="23"/>
      <c r="AT95" s="23"/>
      <c r="AU95" s="23"/>
      <c r="AV95" s="23"/>
      <c r="AW95" s="23"/>
      <c r="AX95" s="23"/>
      <c r="AY95" s="23"/>
      <c r="AZ95" s="23"/>
      <c r="BA95" s="23"/>
      <c r="BB95" s="23"/>
      <c r="BC95" s="23"/>
      <c r="BD95" s="23"/>
      <c r="BE95" s="23"/>
      <c r="BF95" s="23"/>
      <c r="BG95" s="23"/>
      <c r="BH95" s="23"/>
      <c r="BI95" s="23"/>
      <c r="BJ95" s="23"/>
      <c r="BK95" s="23"/>
      <c r="BL95" s="23"/>
      <c r="BM95" s="25"/>
      <c r="BN95" s="35"/>
      <c r="BO95" s="36"/>
      <c r="BP95" s="36"/>
      <c r="BQ95" s="36"/>
      <c r="BR95" s="36"/>
      <c r="BS95" s="36"/>
      <c r="BT95" s="36"/>
      <c r="BU95" s="36"/>
      <c r="BV95" s="36"/>
      <c r="BW95" s="36"/>
      <c r="BX95" s="36"/>
      <c r="BY95" s="36"/>
      <c r="BZ95" s="36"/>
      <c r="CA95" s="36"/>
      <c r="CB95" s="36"/>
      <c r="CC95" s="36"/>
      <c r="CD95" s="36"/>
      <c r="CE95" s="36"/>
      <c r="CF95" s="36"/>
      <c r="CG95" s="36"/>
      <c r="CH95" s="36"/>
      <c r="CI95" s="36"/>
      <c r="CJ95" s="36"/>
      <c r="CK95" s="36"/>
      <c r="CL95" s="36"/>
      <c r="CM95" s="36"/>
      <c r="CN95" s="36"/>
      <c r="CO95" s="36"/>
      <c r="CP95" s="36"/>
      <c r="CQ95" s="36"/>
      <c r="CR95" s="40"/>
      <c r="CS95" s="44"/>
      <c r="CT95" s="36"/>
      <c r="CU95" s="36"/>
      <c r="CV95" s="36"/>
      <c r="CW95" s="36"/>
      <c r="CX95" s="36"/>
      <c r="CY95" s="36"/>
      <c r="CZ95" s="36"/>
      <c r="DA95" s="36"/>
      <c r="DB95" s="36"/>
      <c r="DC95" s="36"/>
      <c r="DD95" s="36"/>
      <c r="DE95" s="36"/>
      <c r="DF95" s="36"/>
      <c r="DG95" s="36"/>
      <c r="DH95" s="36"/>
      <c r="DI95" s="36"/>
      <c r="DJ95" s="36"/>
      <c r="DK95" s="36"/>
      <c r="DL95" s="36"/>
      <c r="DM95" s="36"/>
      <c r="DN95" s="36"/>
      <c r="DO95" s="36"/>
      <c r="DP95" s="36"/>
      <c r="DQ95" s="36"/>
      <c r="DR95" s="36"/>
      <c r="DS95" s="36"/>
      <c r="DT95" s="36"/>
      <c r="DU95" s="36"/>
      <c r="DV95" s="40"/>
      <c r="DW95" s="52"/>
      <c r="DX95" s="36"/>
      <c r="DY95" s="36"/>
      <c r="DZ95" s="36"/>
      <c r="EA95" s="36"/>
      <c r="EB95" s="36"/>
      <c r="EC95" s="36"/>
      <c r="ED95" s="36"/>
      <c r="EE95" s="36"/>
      <c r="EF95" s="36"/>
      <c r="EG95" s="36"/>
      <c r="EH95" s="36"/>
      <c r="EI95" s="36"/>
      <c r="EJ95" s="36"/>
      <c r="EK95" s="36"/>
      <c r="EL95" s="36"/>
      <c r="EM95" s="36"/>
      <c r="EN95" s="36"/>
      <c r="EO95" s="36"/>
      <c r="EP95" s="36"/>
      <c r="EQ95" s="36"/>
      <c r="ER95" s="36"/>
      <c r="ES95" s="36"/>
      <c r="ET95" s="36"/>
      <c r="EU95" s="36"/>
      <c r="EV95" s="36"/>
      <c r="EW95" s="36"/>
      <c r="EX95" s="36"/>
      <c r="EY95" s="36"/>
      <c r="EZ95" s="36"/>
      <c r="FA95" s="53"/>
    </row>
    <row r="96" spans="1:157" x14ac:dyDescent="0.2">
      <c r="A96" s="18"/>
      <c r="B96" s="18"/>
      <c r="C96" s="19"/>
      <c r="D96" s="59"/>
      <c r="E96" s="19"/>
      <c r="G96" s="22"/>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c r="AH96" s="23"/>
      <c r="AI96" s="23"/>
      <c r="AJ96" s="23"/>
      <c r="AK96" s="25"/>
      <c r="AL96" s="28"/>
      <c r="AM96" s="23"/>
      <c r="AN96" s="23"/>
      <c r="AO96" s="23"/>
      <c r="AP96" s="23"/>
      <c r="AQ96" s="23"/>
      <c r="AR96" s="23"/>
      <c r="AS96" s="23"/>
      <c r="AT96" s="23"/>
      <c r="AU96" s="23"/>
      <c r="AV96" s="23"/>
      <c r="AW96" s="23"/>
      <c r="AX96" s="23"/>
      <c r="AY96" s="23"/>
      <c r="AZ96" s="23"/>
      <c r="BA96" s="23"/>
      <c r="BB96" s="23"/>
      <c r="BC96" s="23"/>
      <c r="BD96" s="23"/>
      <c r="BE96" s="23"/>
      <c r="BF96" s="23"/>
      <c r="BG96" s="23"/>
      <c r="BH96" s="23"/>
      <c r="BI96" s="23"/>
      <c r="BJ96" s="23"/>
      <c r="BK96" s="23"/>
      <c r="BL96" s="23"/>
      <c r="BM96" s="25"/>
      <c r="BN96" s="35"/>
      <c r="BO96" s="36"/>
      <c r="BP96" s="36"/>
      <c r="BQ96" s="36"/>
      <c r="BR96" s="36"/>
      <c r="BS96" s="36"/>
      <c r="BT96" s="36"/>
      <c r="BU96" s="36"/>
      <c r="BV96" s="36"/>
      <c r="BW96" s="36"/>
      <c r="BX96" s="36"/>
      <c r="BY96" s="36"/>
      <c r="BZ96" s="36"/>
      <c r="CA96" s="36"/>
      <c r="CB96" s="36"/>
      <c r="CC96" s="36"/>
      <c r="CD96" s="36"/>
      <c r="CE96" s="36"/>
      <c r="CF96" s="36"/>
      <c r="CG96" s="36"/>
      <c r="CH96" s="36"/>
      <c r="CI96" s="36"/>
      <c r="CJ96" s="36"/>
      <c r="CK96" s="36"/>
      <c r="CL96" s="36"/>
      <c r="CM96" s="36"/>
      <c r="CN96" s="36"/>
      <c r="CO96" s="36"/>
      <c r="CP96" s="36"/>
      <c r="CQ96" s="36"/>
      <c r="CR96" s="40"/>
      <c r="CS96" s="44"/>
      <c r="CT96" s="36"/>
      <c r="CU96" s="36"/>
      <c r="CV96" s="36"/>
      <c r="CW96" s="36"/>
      <c r="CX96" s="36"/>
      <c r="CY96" s="36"/>
      <c r="CZ96" s="36"/>
      <c r="DA96" s="36"/>
      <c r="DB96" s="36"/>
      <c r="DC96" s="36"/>
      <c r="DD96" s="36"/>
      <c r="DE96" s="36"/>
      <c r="DF96" s="36"/>
      <c r="DG96" s="36"/>
      <c r="DH96" s="36"/>
      <c r="DI96" s="36"/>
      <c r="DJ96" s="36"/>
      <c r="DK96" s="36"/>
      <c r="DL96" s="36"/>
      <c r="DM96" s="36"/>
      <c r="DN96" s="36"/>
      <c r="DO96" s="36"/>
      <c r="DP96" s="36"/>
      <c r="DQ96" s="36"/>
      <c r="DR96" s="36"/>
      <c r="DS96" s="36"/>
      <c r="DT96" s="36"/>
      <c r="DU96" s="36"/>
      <c r="DV96" s="40"/>
      <c r="DW96" s="52"/>
      <c r="DX96" s="36"/>
      <c r="DY96" s="36"/>
      <c r="DZ96" s="36"/>
      <c r="EA96" s="36"/>
      <c r="EB96" s="36"/>
      <c r="EC96" s="36"/>
      <c r="ED96" s="36"/>
      <c r="EE96" s="36"/>
      <c r="EF96" s="36"/>
      <c r="EG96" s="36"/>
      <c r="EH96" s="36"/>
      <c r="EI96" s="36"/>
      <c r="EJ96" s="36"/>
      <c r="EK96" s="36"/>
      <c r="EL96" s="36"/>
      <c r="EM96" s="36"/>
      <c r="EN96" s="36"/>
      <c r="EO96" s="36"/>
      <c r="EP96" s="36"/>
      <c r="EQ96" s="36"/>
      <c r="ER96" s="36"/>
      <c r="ES96" s="36"/>
      <c r="ET96" s="36"/>
      <c r="EU96" s="36"/>
      <c r="EV96" s="36"/>
      <c r="EW96" s="36"/>
      <c r="EX96" s="36"/>
      <c r="EY96" s="36"/>
      <c r="EZ96" s="36"/>
      <c r="FA96" s="53"/>
    </row>
    <row r="97" spans="1:157" x14ac:dyDescent="0.2">
      <c r="A97" s="18"/>
      <c r="B97" s="18"/>
      <c r="C97" s="19"/>
      <c r="D97" s="59"/>
      <c r="E97" s="19"/>
      <c r="G97" s="22"/>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5"/>
      <c r="AL97" s="28"/>
      <c r="AM97" s="23"/>
      <c r="AN97" s="23"/>
      <c r="AO97" s="23"/>
      <c r="AP97" s="23"/>
      <c r="AQ97" s="23"/>
      <c r="AR97" s="23"/>
      <c r="AS97" s="23"/>
      <c r="AT97" s="23"/>
      <c r="AU97" s="23"/>
      <c r="AV97" s="23"/>
      <c r="AW97" s="23"/>
      <c r="AX97" s="23"/>
      <c r="AY97" s="23"/>
      <c r="AZ97" s="23"/>
      <c r="BA97" s="23"/>
      <c r="BB97" s="23"/>
      <c r="BC97" s="23"/>
      <c r="BD97" s="23"/>
      <c r="BE97" s="23"/>
      <c r="BF97" s="23"/>
      <c r="BG97" s="23"/>
      <c r="BH97" s="23"/>
      <c r="BI97" s="23"/>
      <c r="BJ97" s="23"/>
      <c r="BK97" s="23"/>
      <c r="BL97" s="23"/>
      <c r="BM97" s="25"/>
      <c r="BN97" s="35"/>
      <c r="BO97" s="36"/>
      <c r="BP97" s="36"/>
      <c r="BQ97" s="36"/>
      <c r="BR97" s="36"/>
      <c r="BS97" s="36"/>
      <c r="BT97" s="36"/>
      <c r="BU97" s="36"/>
      <c r="BV97" s="36"/>
      <c r="BW97" s="36"/>
      <c r="BX97" s="36"/>
      <c r="BY97" s="36"/>
      <c r="BZ97" s="36"/>
      <c r="CA97" s="36"/>
      <c r="CB97" s="36"/>
      <c r="CC97" s="36"/>
      <c r="CD97" s="36"/>
      <c r="CE97" s="36"/>
      <c r="CF97" s="36"/>
      <c r="CG97" s="36"/>
      <c r="CH97" s="36"/>
      <c r="CI97" s="36"/>
      <c r="CJ97" s="36"/>
      <c r="CK97" s="36"/>
      <c r="CL97" s="36"/>
      <c r="CM97" s="36"/>
      <c r="CN97" s="36"/>
      <c r="CO97" s="36"/>
      <c r="CP97" s="36"/>
      <c r="CQ97" s="36"/>
      <c r="CR97" s="40"/>
      <c r="CS97" s="44"/>
      <c r="CT97" s="36"/>
      <c r="CU97" s="36"/>
      <c r="CV97" s="36"/>
      <c r="CW97" s="36"/>
      <c r="CX97" s="36"/>
      <c r="CY97" s="36"/>
      <c r="CZ97" s="36"/>
      <c r="DA97" s="36"/>
      <c r="DB97" s="36"/>
      <c r="DC97" s="36"/>
      <c r="DD97" s="36"/>
      <c r="DE97" s="36"/>
      <c r="DF97" s="36"/>
      <c r="DG97" s="36"/>
      <c r="DH97" s="36"/>
      <c r="DI97" s="36"/>
      <c r="DJ97" s="36"/>
      <c r="DK97" s="36"/>
      <c r="DL97" s="36"/>
      <c r="DM97" s="36"/>
      <c r="DN97" s="36"/>
      <c r="DO97" s="36"/>
      <c r="DP97" s="36"/>
      <c r="DQ97" s="36"/>
      <c r="DR97" s="36"/>
      <c r="DS97" s="36"/>
      <c r="DT97" s="36"/>
      <c r="DU97" s="36"/>
      <c r="DV97" s="40"/>
      <c r="DW97" s="52"/>
      <c r="DX97" s="36"/>
      <c r="DY97" s="36"/>
      <c r="DZ97" s="36"/>
      <c r="EA97" s="36"/>
      <c r="EB97" s="36"/>
      <c r="EC97" s="36"/>
      <c r="ED97" s="36"/>
      <c r="EE97" s="36"/>
      <c r="EF97" s="36"/>
      <c r="EG97" s="36"/>
      <c r="EH97" s="36"/>
      <c r="EI97" s="36"/>
      <c r="EJ97" s="36"/>
      <c r="EK97" s="36"/>
      <c r="EL97" s="36"/>
      <c r="EM97" s="36"/>
      <c r="EN97" s="36"/>
      <c r="EO97" s="36"/>
      <c r="EP97" s="36"/>
      <c r="EQ97" s="36"/>
      <c r="ER97" s="36"/>
      <c r="ES97" s="36"/>
      <c r="ET97" s="36"/>
      <c r="EU97" s="36"/>
      <c r="EV97" s="36"/>
      <c r="EW97" s="36"/>
      <c r="EX97" s="36"/>
      <c r="EY97" s="36"/>
      <c r="EZ97" s="36"/>
      <c r="FA97" s="53"/>
    </row>
    <row r="98" spans="1:157" x14ac:dyDescent="0.2">
      <c r="A98" s="18"/>
      <c r="B98" s="18"/>
      <c r="C98" s="19"/>
      <c r="D98" s="59"/>
      <c r="E98" s="19"/>
      <c r="G98" s="22"/>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c r="AH98" s="23"/>
      <c r="AI98" s="23"/>
      <c r="AJ98" s="23"/>
      <c r="AK98" s="25"/>
      <c r="AL98" s="28"/>
      <c r="AM98" s="23"/>
      <c r="AN98" s="23"/>
      <c r="AO98" s="23"/>
      <c r="AP98" s="23"/>
      <c r="AQ98" s="23"/>
      <c r="AR98" s="23"/>
      <c r="AS98" s="23"/>
      <c r="AT98" s="23"/>
      <c r="AU98" s="23"/>
      <c r="AV98" s="23"/>
      <c r="AW98" s="23"/>
      <c r="AX98" s="23"/>
      <c r="AY98" s="23"/>
      <c r="AZ98" s="23"/>
      <c r="BA98" s="23"/>
      <c r="BB98" s="23"/>
      <c r="BC98" s="23"/>
      <c r="BD98" s="23"/>
      <c r="BE98" s="23"/>
      <c r="BF98" s="23"/>
      <c r="BG98" s="23"/>
      <c r="BH98" s="23"/>
      <c r="BI98" s="23"/>
      <c r="BJ98" s="23"/>
      <c r="BK98" s="23"/>
      <c r="BL98" s="23"/>
      <c r="BM98" s="25"/>
      <c r="BN98" s="35"/>
      <c r="BO98" s="36"/>
      <c r="BP98" s="36"/>
      <c r="BQ98" s="36"/>
      <c r="BR98" s="36"/>
      <c r="BS98" s="36"/>
      <c r="BT98" s="36"/>
      <c r="BU98" s="36"/>
      <c r="BV98" s="36"/>
      <c r="BW98" s="36"/>
      <c r="BX98" s="36"/>
      <c r="BY98" s="36"/>
      <c r="BZ98" s="36"/>
      <c r="CA98" s="36"/>
      <c r="CB98" s="36"/>
      <c r="CC98" s="36"/>
      <c r="CD98" s="36"/>
      <c r="CE98" s="36"/>
      <c r="CF98" s="36"/>
      <c r="CG98" s="36"/>
      <c r="CH98" s="36"/>
      <c r="CI98" s="36"/>
      <c r="CJ98" s="36"/>
      <c r="CK98" s="36"/>
      <c r="CL98" s="36"/>
      <c r="CM98" s="36"/>
      <c r="CN98" s="36"/>
      <c r="CO98" s="36"/>
      <c r="CP98" s="36"/>
      <c r="CQ98" s="36"/>
      <c r="CR98" s="40"/>
      <c r="CS98" s="44"/>
      <c r="CT98" s="36"/>
      <c r="CU98" s="36"/>
      <c r="CV98" s="36"/>
      <c r="CW98" s="36"/>
      <c r="CX98" s="36"/>
      <c r="CY98" s="36"/>
      <c r="CZ98" s="36"/>
      <c r="DA98" s="36"/>
      <c r="DB98" s="36"/>
      <c r="DC98" s="36"/>
      <c r="DD98" s="36"/>
      <c r="DE98" s="36"/>
      <c r="DF98" s="36"/>
      <c r="DG98" s="36"/>
      <c r="DH98" s="36"/>
      <c r="DI98" s="36"/>
      <c r="DJ98" s="36"/>
      <c r="DK98" s="36"/>
      <c r="DL98" s="36"/>
      <c r="DM98" s="36"/>
      <c r="DN98" s="36"/>
      <c r="DO98" s="36"/>
      <c r="DP98" s="36"/>
      <c r="DQ98" s="36"/>
      <c r="DR98" s="36"/>
      <c r="DS98" s="36"/>
      <c r="DT98" s="36"/>
      <c r="DU98" s="36"/>
      <c r="DV98" s="40"/>
      <c r="DW98" s="52"/>
      <c r="DX98" s="36"/>
      <c r="DY98" s="36"/>
      <c r="DZ98" s="36"/>
      <c r="EA98" s="36"/>
      <c r="EB98" s="36"/>
      <c r="EC98" s="36"/>
      <c r="ED98" s="36"/>
      <c r="EE98" s="36"/>
      <c r="EF98" s="36"/>
      <c r="EG98" s="36"/>
      <c r="EH98" s="36"/>
      <c r="EI98" s="36"/>
      <c r="EJ98" s="36"/>
      <c r="EK98" s="36"/>
      <c r="EL98" s="36"/>
      <c r="EM98" s="36"/>
      <c r="EN98" s="36"/>
      <c r="EO98" s="36"/>
      <c r="EP98" s="36"/>
      <c r="EQ98" s="36"/>
      <c r="ER98" s="36"/>
      <c r="ES98" s="36"/>
      <c r="ET98" s="36"/>
      <c r="EU98" s="36"/>
      <c r="EV98" s="36"/>
      <c r="EW98" s="36"/>
      <c r="EX98" s="36"/>
      <c r="EY98" s="36"/>
      <c r="EZ98" s="36"/>
      <c r="FA98" s="53"/>
    </row>
    <row r="99" spans="1:157" x14ac:dyDescent="0.2">
      <c r="A99" s="18"/>
      <c r="B99" s="18"/>
      <c r="C99" s="19"/>
      <c r="D99" s="59"/>
      <c r="E99" s="19"/>
      <c r="G99" s="22"/>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5"/>
      <c r="AL99" s="28"/>
      <c r="AM99" s="23"/>
      <c r="AN99" s="23"/>
      <c r="AO99" s="23"/>
      <c r="AP99" s="23"/>
      <c r="AQ99" s="23"/>
      <c r="AR99" s="23"/>
      <c r="AS99" s="23"/>
      <c r="AT99" s="23"/>
      <c r="AU99" s="23"/>
      <c r="AV99" s="23"/>
      <c r="AW99" s="23"/>
      <c r="AX99" s="23"/>
      <c r="AY99" s="23"/>
      <c r="AZ99" s="23"/>
      <c r="BA99" s="23"/>
      <c r="BB99" s="23"/>
      <c r="BC99" s="23"/>
      <c r="BD99" s="23"/>
      <c r="BE99" s="23"/>
      <c r="BF99" s="23"/>
      <c r="BG99" s="23"/>
      <c r="BH99" s="23"/>
      <c r="BI99" s="23"/>
      <c r="BJ99" s="23"/>
      <c r="BK99" s="23"/>
      <c r="BL99" s="23"/>
      <c r="BM99" s="25"/>
      <c r="BN99" s="35"/>
      <c r="BO99" s="36"/>
      <c r="BP99" s="36"/>
      <c r="BQ99" s="36"/>
      <c r="BR99" s="36"/>
      <c r="BS99" s="36"/>
      <c r="BT99" s="36"/>
      <c r="BU99" s="36"/>
      <c r="BV99" s="36"/>
      <c r="BW99" s="36"/>
      <c r="BX99" s="36"/>
      <c r="BY99" s="36"/>
      <c r="BZ99" s="36"/>
      <c r="CA99" s="36"/>
      <c r="CB99" s="36"/>
      <c r="CC99" s="36"/>
      <c r="CD99" s="36"/>
      <c r="CE99" s="36"/>
      <c r="CF99" s="36"/>
      <c r="CG99" s="36"/>
      <c r="CH99" s="36"/>
      <c r="CI99" s="36"/>
      <c r="CJ99" s="36"/>
      <c r="CK99" s="36"/>
      <c r="CL99" s="36"/>
      <c r="CM99" s="36"/>
      <c r="CN99" s="36"/>
      <c r="CO99" s="36"/>
      <c r="CP99" s="36"/>
      <c r="CQ99" s="36"/>
      <c r="CR99" s="40"/>
      <c r="CS99" s="44"/>
      <c r="CT99" s="36"/>
      <c r="CU99" s="36"/>
      <c r="CV99" s="36"/>
      <c r="CW99" s="36"/>
      <c r="CX99" s="36"/>
      <c r="CY99" s="36"/>
      <c r="CZ99" s="36"/>
      <c r="DA99" s="36"/>
      <c r="DB99" s="36"/>
      <c r="DC99" s="36"/>
      <c r="DD99" s="36"/>
      <c r="DE99" s="36"/>
      <c r="DF99" s="36"/>
      <c r="DG99" s="36"/>
      <c r="DH99" s="36"/>
      <c r="DI99" s="36"/>
      <c r="DJ99" s="36"/>
      <c r="DK99" s="36"/>
      <c r="DL99" s="36"/>
      <c r="DM99" s="36"/>
      <c r="DN99" s="36"/>
      <c r="DO99" s="36"/>
      <c r="DP99" s="36"/>
      <c r="DQ99" s="36"/>
      <c r="DR99" s="36"/>
      <c r="DS99" s="36"/>
      <c r="DT99" s="36"/>
      <c r="DU99" s="36"/>
      <c r="DV99" s="40"/>
      <c r="DW99" s="52"/>
      <c r="DX99" s="36"/>
      <c r="DY99" s="36"/>
      <c r="DZ99" s="36"/>
      <c r="EA99" s="36"/>
      <c r="EB99" s="36"/>
      <c r="EC99" s="36"/>
      <c r="ED99" s="36"/>
      <c r="EE99" s="36"/>
      <c r="EF99" s="36"/>
      <c r="EG99" s="36"/>
      <c r="EH99" s="36"/>
      <c r="EI99" s="36"/>
      <c r="EJ99" s="36"/>
      <c r="EK99" s="36"/>
      <c r="EL99" s="36"/>
      <c r="EM99" s="36"/>
      <c r="EN99" s="36"/>
      <c r="EO99" s="36"/>
      <c r="EP99" s="36"/>
      <c r="EQ99" s="36"/>
      <c r="ER99" s="36"/>
      <c r="ES99" s="36"/>
      <c r="ET99" s="36"/>
      <c r="EU99" s="36"/>
      <c r="EV99" s="36"/>
      <c r="EW99" s="36"/>
      <c r="EX99" s="36"/>
      <c r="EY99" s="36"/>
      <c r="EZ99" s="36"/>
      <c r="FA99" s="53"/>
    </row>
    <row r="100" spans="1:157" ht="15" thickBot="1" x14ac:dyDescent="0.25">
      <c r="A100" s="18"/>
      <c r="B100" s="18"/>
      <c r="C100" s="19"/>
      <c r="D100" s="59"/>
      <c r="E100" s="19"/>
      <c r="G100" s="22"/>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5"/>
      <c r="AL100" s="29"/>
      <c r="AM100" s="30"/>
      <c r="AN100" s="30"/>
      <c r="AO100" s="30"/>
      <c r="AP100" s="30"/>
      <c r="AQ100" s="30"/>
      <c r="AR100" s="30"/>
      <c r="AS100" s="30"/>
      <c r="AT100" s="30"/>
      <c r="AU100" s="30"/>
      <c r="AV100" s="30"/>
      <c r="AW100" s="30"/>
      <c r="AX100" s="30"/>
      <c r="AY100" s="30"/>
      <c r="AZ100" s="30"/>
      <c r="BA100" s="30"/>
      <c r="BB100" s="30"/>
      <c r="BC100" s="30"/>
      <c r="BD100" s="30"/>
      <c r="BE100" s="30"/>
      <c r="BF100" s="30"/>
      <c r="BG100" s="30"/>
      <c r="BH100" s="30"/>
      <c r="BI100" s="30"/>
      <c r="BJ100" s="30"/>
      <c r="BK100" s="30"/>
      <c r="BL100" s="30"/>
      <c r="BM100" s="32"/>
      <c r="BN100" s="37"/>
      <c r="BO100" s="38"/>
      <c r="BP100" s="38"/>
      <c r="BQ100" s="38"/>
      <c r="BR100" s="38"/>
      <c r="BS100" s="38"/>
      <c r="BT100" s="38"/>
      <c r="BU100" s="38"/>
      <c r="BV100" s="38"/>
      <c r="BW100" s="38"/>
      <c r="BX100" s="38"/>
      <c r="BY100" s="38"/>
      <c r="BZ100" s="38"/>
      <c r="CA100" s="38"/>
      <c r="CB100" s="38"/>
      <c r="CC100" s="38"/>
      <c r="CD100" s="38"/>
      <c r="CE100" s="38"/>
      <c r="CF100" s="38"/>
      <c r="CG100" s="38"/>
      <c r="CH100" s="38"/>
      <c r="CI100" s="38"/>
      <c r="CJ100" s="38"/>
      <c r="CK100" s="38"/>
      <c r="CL100" s="38"/>
      <c r="CM100" s="38"/>
      <c r="CN100" s="38"/>
      <c r="CO100" s="38"/>
      <c r="CP100" s="38"/>
      <c r="CQ100" s="38"/>
      <c r="CR100" s="41"/>
      <c r="CS100" s="45"/>
      <c r="CT100" s="46"/>
      <c r="CU100" s="46"/>
      <c r="CV100" s="46"/>
      <c r="CW100" s="46"/>
      <c r="CX100" s="46"/>
      <c r="CY100" s="46"/>
      <c r="CZ100" s="46"/>
      <c r="DA100" s="46"/>
      <c r="DB100" s="46"/>
      <c r="DC100" s="46"/>
      <c r="DD100" s="46"/>
      <c r="DE100" s="46"/>
      <c r="DF100" s="46"/>
      <c r="DG100" s="46"/>
      <c r="DH100" s="46"/>
      <c r="DI100" s="46"/>
      <c r="DJ100" s="46"/>
      <c r="DK100" s="46"/>
      <c r="DL100" s="46"/>
      <c r="DM100" s="46"/>
      <c r="DN100" s="46"/>
      <c r="DO100" s="46"/>
      <c r="DP100" s="46"/>
      <c r="DQ100" s="46"/>
      <c r="DR100" s="46"/>
      <c r="DS100" s="46"/>
      <c r="DT100" s="46"/>
      <c r="DU100" s="46"/>
      <c r="DV100" s="48"/>
      <c r="DW100" s="54"/>
      <c r="DX100" s="55"/>
      <c r="DY100" s="55"/>
      <c r="DZ100" s="55"/>
      <c r="EA100" s="55"/>
      <c r="EB100" s="55"/>
      <c r="EC100" s="55"/>
      <c r="ED100" s="55"/>
      <c r="EE100" s="55"/>
      <c r="EF100" s="55"/>
      <c r="EG100" s="55"/>
      <c r="EH100" s="55"/>
      <c r="EI100" s="55"/>
      <c r="EJ100" s="55"/>
      <c r="EK100" s="55"/>
      <c r="EL100" s="55"/>
      <c r="EM100" s="55"/>
      <c r="EN100" s="55"/>
      <c r="EO100" s="55"/>
      <c r="EP100" s="55"/>
      <c r="EQ100" s="55"/>
      <c r="ER100" s="55"/>
      <c r="ES100" s="55"/>
      <c r="ET100" s="55"/>
      <c r="EU100" s="55"/>
      <c r="EV100" s="55"/>
      <c r="EW100" s="55"/>
      <c r="EX100" s="55"/>
      <c r="EY100" s="55"/>
      <c r="EZ100" s="55"/>
      <c r="FA100" s="56"/>
    </row>
  </sheetData>
  <sheetProtection algorithmName="SHA-512" hashValue="0YWezkIU5tM/z6JDpY+iJuuIFB2IpKpG+sTnDWN8iv/l1SGAsRdRfJfLqo1l37SNL2z1cuXZDpQHzpzF5JgOag==" saltValue="lpcLt1CiRNR2V2sgUkmHVw==" spinCount="100000" sheet="1" objects="1" scenarios="1"/>
  <conditionalFormatting sqref="G4:NG100">
    <cfRule type="expression" dxfId="3" priority="2">
      <formula>G$1=1</formula>
    </cfRule>
    <cfRule type="expression" dxfId="2" priority="3">
      <formula>AND(G$3&gt;=$C4,G$3&lt;=$E4)</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6B4B4-C386-4FA2-804F-7FA57BCA7CEB}">
  <sheetPr codeName="Hoja1">
    <tabColor rgb="FF00B050"/>
  </sheetPr>
  <dimension ref="A1:Q51"/>
  <sheetViews>
    <sheetView showGridLines="0" showRowColHeaders="0" tabSelected="1" zoomScale="90" zoomScaleNormal="90" workbookViewId="0">
      <selection activeCell="C34" sqref="C34"/>
    </sheetView>
  </sheetViews>
  <sheetFormatPr baseColWidth="10" defaultColWidth="0" defaultRowHeight="14.25" x14ac:dyDescent="0.2"/>
  <cols>
    <col min="1" max="1" width="20.875" bestFit="1" customWidth="1"/>
    <col min="2" max="2" width="16.125" bestFit="1" customWidth="1"/>
    <col min="3" max="4" width="11" customWidth="1"/>
    <col min="5" max="5" width="12.875" customWidth="1"/>
    <col min="6" max="6" width="11" customWidth="1"/>
    <col min="7" max="7" width="6.875" customWidth="1"/>
    <col min="8" max="16" width="11" customWidth="1"/>
    <col min="17" max="17" width="3.5" customWidth="1"/>
    <col min="18" max="16384" width="11" hidden="1"/>
  </cols>
  <sheetData>
    <row r="1" spans="1:17" x14ac:dyDescent="0.2">
      <c r="A1" s="122" t="s">
        <v>70</v>
      </c>
      <c r="B1" s="74"/>
      <c r="C1" s="74"/>
      <c r="D1" s="74"/>
      <c r="E1" s="74"/>
      <c r="F1" s="74"/>
      <c r="G1" s="74"/>
      <c r="H1" s="74"/>
      <c r="I1" s="74"/>
      <c r="J1" s="74"/>
      <c r="K1" s="74"/>
      <c r="L1" s="74"/>
      <c r="M1" s="74"/>
      <c r="N1" s="107" t="s">
        <v>79</v>
      </c>
      <c r="O1" s="108"/>
      <c r="P1" s="108"/>
      <c r="Q1" s="74"/>
    </row>
    <row r="2" spans="1:17" x14ac:dyDescent="0.2">
      <c r="A2" s="74"/>
      <c r="B2" s="74"/>
      <c r="C2" s="74"/>
      <c r="D2" s="74"/>
      <c r="E2" s="74"/>
      <c r="F2" s="74"/>
      <c r="G2" s="74"/>
      <c r="H2" s="74"/>
      <c r="I2" s="74"/>
      <c r="J2" s="74"/>
      <c r="K2" s="74"/>
      <c r="L2" s="74"/>
      <c r="M2" s="74"/>
      <c r="N2" s="74"/>
      <c r="O2" s="74"/>
      <c r="P2" s="74"/>
      <c r="Q2" s="74"/>
    </row>
    <row r="3" spans="1:17" x14ac:dyDescent="0.2">
      <c r="A3" s="74"/>
      <c r="B3" s="74"/>
      <c r="C3" s="102">
        <f>+LIQUIDACIÓN!M5</f>
        <v>22416666.666666668</v>
      </c>
      <c r="D3" s="74"/>
      <c r="E3" s="74"/>
      <c r="F3" s="74"/>
      <c r="G3" s="74"/>
      <c r="H3" s="74"/>
      <c r="I3" s="74"/>
      <c r="J3" s="74"/>
      <c r="K3" s="74"/>
      <c r="L3" s="74"/>
      <c r="M3" s="74"/>
      <c r="N3" s="74"/>
      <c r="O3" s="74"/>
      <c r="P3" s="74"/>
      <c r="Q3" s="74"/>
    </row>
    <row r="4" spans="1:17" ht="20.25" x14ac:dyDescent="0.2">
      <c r="A4" s="74"/>
      <c r="B4" s="74"/>
      <c r="C4" s="74"/>
      <c r="D4" s="74"/>
      <c r="E4" s="74"/>
      <c r="F4" s="74"/>
      <c r="G4" s="74"/>
      <c r="H4" s="75">
        <f>+GETPIVOTDATA($A$12,"Disponible (días)")</f>
        <v>190</v>
      </c>
      <c r="I4" s="74"/>
      <c r="J4" s="74"/>
      <c r="K4" s="74"/>
      <c r="L4" s="74"/>
      <c r="M4" s="74"/>
      <c r="N4" s="74"/>
      <c r="O4" s="74"/>
      <c r="P4" s="74"/>
      <c r="Q4" s="74"/>
    </row>
    <row r="5" spans="1:17" x14ac:dyDescent="0.2">
      <c r="A5" s="74"/>
      <c r="B5" s="74"/>
      <c r="C5" s="74"/>
      <c r="D5" s="74"/>
      <c r="E5" s="74"/>
      <c r="F5" s="74"/>
      <c r="G5" s="74"/>
      <c r="H5" s="74"/>
      <c r="I5" s="74"/>
      <c r="J5" s="74"/>
      <c r="K5" s="74"/>
      <c r="L5" s="74"/>
      <c r="M5" s="74"/>
      <c r="N5" s="74"/>
      <c r="O5" s="74"/>
      <c r="P5" s="74"/>
      <c r="Q5" s="74"/>
    </row>
    <row r="6" spans="1:17" ht="30" customHeight="1" x14ac:dyDescent="0.2">
      <c r="A6" s="74"/>
      <c r="B6" s="74"/>
      <c r="C6" s="74"/>
      <c r="D6" s="74"/>
      <c r="E6" s="77">
        <f>+GETPIVOTDATA(A10,"%Ejec")</f>
        <v>1.236842105263158</v>
      </c>
      <c r="F6" s="77">
        <f>IF(E6&gt;=1,0,100%-E6)</f>
        <v>0</v>
      </c>
      <c r="G6" s="74"/>
      <c r="H6" s="75" t="e">
        <f>+GETPIVOTDATA(A10,"Dias Program.")</f>
        <v>#N/A</v>
      </c>
      <c r="I6" s="74"/>
      <c r="J6" s="74"/>
      <c r="K6" s="74"/>
      <c r="L6" s="74"/>
      <c r="M6" s="74"/>
      <c r="N6" s="74"/>
      <c r="O6" s="74"/>
      <c r="P6" s="74"/>
      <c r="Q6" s="74"/>
    </row>
    <row r="7" spans="1:17" ht="16.5" x14ac:dyDescent="0.3">
      <c r="A7" s="124"/>
      <c r="B7" s="74"/>
      <c r="C7" s="74"/>
      <c r="D7" s="74"/>
      <c r="E7" s="74"/>
      <c r="F7" s="74"/>
      <c r="G7" s="74"/>
      <c r="H7" s="76">
        <f>+E6*H4</f>
        <v>235</v>
      </c>
      <c r="I7" s="74"/>
      <c r="J7" s="74"/>
      <c r="K7" s="74"/>
      <c r="L7" s="74"/>
      <c r="M7" s="74"/>
      <c r="N7" s="74"/>
      <c r="O7" s="74"/>
      <c r="P7" s="74"/>
      <c r="Q7" s="74"/>
    </row>
    <row r="8" spans="1:17" x14ac:dyDescent="0.2">
      <c r="A8" s="74"/>
      <c r="B8" s="74"/>
      <c r="C8" s="74"/>
      <c r="D8" s="74"/>
      <c r="E8" s="74"/>
      <c r="F8" s="74"/>
      <c r="G8" s="74"/>
      <c r="H8" s="74"/>
      <c r="I8" s="74"/>
      <c r="J8" s="74"/>
      <c r="K8" s="74"/>
      <c r="L8" s="74"/>
      <c r="M8" s="74"/>
      <c r="N8" s="74"/>
      <c r="O8" s="74"/>
      <c r="P8" s="74"/>
      <c r="Q8" s="74"/>
    </row>
    <row r="9" spans="1:17" x14ac:dyDescent="0.2">
      <c r="A9" s="74"/>
      <c r="B9" s="74"/>
      <c r="C9" s="74"/>
      <c r="D9" s="74"/>
      <c r="E9" s="74"/>
      <c r="F9" s="74"/>
      <c r="G9" s="74"/>
      <c r="H9" s="74"/>
      <c r="I9" s="74"/>
      <c r="J9" s="74"/>
      <c r="K9" s="74"/>
      <c r="L9" s="74"/>
      <c r="M9" s="74"/>
      <c r="N9" s="74"/>
      <c r="O9" s="74"/>
      <c r="P9" s="74"/>
      <c r="Q9" s="74"/>
    </row>
    <row r="10" spans="1:17" hidden="1" x14ac:dyDescent="0.2">
      <c r="A10" s="63" t="s">
        <v>1</v>
      </c>
      <c r="B10" t="s">
        <v>70</v>
      </c>
    </row>
    <row r="12" spans="1:17" x14ac:dyDescent="0.2">
      <c r="A12" s="63" t="s">
        <v>46</v>
      </c>
    </row>
    <row r="13" spans="1:17" x14ac:dyDescent="0.2">
      <c r="A13" s="64" t="s">
        <v>48</v>
      </c>
      <c r="B13" s="65"/>
    </row>
    <row r="14" spans="1:17" x14ac:dyDescent="0.2">
      <c r="A14" s="66" t="s">
        <v>63</v>
      </c>
      <c r="B14" s="65">
        <v>50</v>
      </c>
    </row>
    <row r="15" spans="1:17" x14ac:dyDescent="0.2">
      <c r="A15" s="66" t="s">
        <v>66</v>
      </c>
      <c r="B15" s="67">
        <v>10</v>
      </c>
    </row>
    <row r="16" spans="1:17" x14ac:dyDescent="0.2">
      <c r="A16" s="66" t="s">
        <v>68</v>
      </c>
      <c r="B16" s="68">
        <v>40</v>
      </c>
    </row>
    <row r="17" spans="1:2" x14ac:dyDescent="0.2">
      <c r="A17" s="66" t="s">
        <v>71</v>
      </c>
      <c r="B17" s="72">
        <v>0.2</v>
      </c>
    </row>
    <row r="18" spans="1:2" x14ac:dyDescent="0.2">
      <c r="A18" s="64" t="s">
        <v>27</v>
      </c>
      <c r="B18" s="65"/>
    </row>
    <row r="19" spans="1:2" x14ac:dyDescent="0.2">
      <c r="A19" s="66" t="s">
        <v>63</v>
      </c>
      <c r="B19" s="65">
        <v>30</v>
      </c>
    </row>
    <row r="20" spans="1:2" x14ac:dyDescent="0.2">
      <c r="A20" s="66" t="s">
        <v>66</v>
      </c>
      <c r="B20" s="67">
        <v>15</v>
      </c>
    </row>
    <row r="21" spans="1:2" x14ac:dyDescent="0.2">
      <c r="A21" s="123" t="s">
        <v>68</v>
      </c>
      <c r="B21" s="68">
        <v>15</v>
      </c>
    </row>
    <row r="22" spans="1:2" x14ac:dyDescent="0.2">
      <c r="A22" s="66" t="s">
        <v>71</v>
      </c>
      <c r="B22" s="72">
        <v>0.5</v>
      </c>
    </row>
    <row r="23" spans="1:2" x14ac:dyDescent="0.2">
      <c r="A23" s="64" t="s">
        <v>49</v>
      </c>
      <c r="B23" s="65"/>
    </row>
    <row r="24" spans="1:2" x14ac:dyDescent="0.2">
      <c r="A24" s="66" t="s">
        <v>63</v>
      </c>
      <c r="B24" s="65">
        <v>22</v>
      </c>
    </row>
    <row r="25" spans="1:2" x14ac:dyDescent="0.2">
      <c r="A25" s="66" t="s">
        <v>66</v>
      </c>
      <c r="B25" s="67">
        <v>10</v>
      </c>
    </row>
    <row r="26" spans="1:2" x14ac:dyDescent="0.2">
      <c r="A26" s="66" t="s">
        <v>68</v>
      </c>
      <c r="B26" s="68">
        <v>12</v>
      </c>
    </row>
    <row r="27" spans="1:2" x14ac:dyDescent="0.2">
      <c r="A27" s="66" t="s">
        <v>71</v>
      </c>
      <c r="B27" s="72">
        <v>0.45454545454545453</v>
      </c>
    </row>
    <row r="28" spans="1:2" x14ac:dyDescent="0.2">
      <c r="A28" s="64" t="s">
        <v>73</v>
      </c>
      <c r="B28" s="65"/>
    </row>
    <row r="29" spans="1:2" x14ac:dyDescent="0.2">
      <c r="A29" s="66" t="s">
        <v>63</v>
      </c>
      <c r="B29" s="65">
        <v>22</v>
      </c>
    </row>
    <row r="30" spans="1:2" x14ac:dyDescent="0.2">
      <c r="A30" s="66" t="s">
        <v>66</v>
      </c>
      <c r="B30" s="67">
        <v>50</v>
      </c>
    </row>
    <row r="31" spans="1:2" x14ac:dyDescent="0.2">
      <c r="A31" s="66" t="s">
        <v>68</v>
      </c>
      <c r="B31" s="68">
        <v>-28</v>
      </c>
    </row>
    <row r="32" spans="1:2" x14ac:dyDescent="0.2">
      <c r="A32" s="66" t="s">
        <v>71</v>
      </c>
      <c r="B32" s="72">
        <v>2.2727272727272729</v>
      </c>
    </row>
    <row r="33" spans="1:2" x14ac:dyDescent="0.2">
      <c r="A33" s="64" t="s">
        <v>88</v>
      </c>
      <c r="B33" s="65"/>
    </row>
    <row r="34" spans="1:2" x14ac:dyDescent="0.2">
      <c r="A34" s="66" t="s">
        <v>63</v>
      </c>
      <c r="B34" s="65">
        <v>22</v>
      </c>
    </row>
    <row r="35" spans="1:2" x14ac:dyDescent="0.2">
      <c r="A35" s="66" t="s">
        <v>66</v>
      </c>
      <c r="B35" s="67">
        <v>50</v>
      </c>
    </row>
    <row r="36" spans="1:2" x14ac:dyDescent="0.2">
      <c r="A36" s="66" t="s">
        <v>68</v>
      </c>
      <c r="B36" s="68">
        <v>-28</v>
      </c>
    </row>
    <row r="37" spans="1:2" x14ac:dyDescent="0.2">
      <c r="A37" s="66" t="s">
        <v>71</v>
      </c>
      <c r="B37" s="72">
        <v>2.2727272727272729</v>
      </c>
    </row>
    <row r="38" spans="1:2" x14ac:dyDescent="0.2">
      <c r="A38" s="64" t="s">
        <v>89</v>
      </c>
      <c r="B38" s="65"/>
    </row>
    <row r="39" spans="1:2" x14ac:dyDescent="0.2">
      <c r="A39" s="66" t="s">
        <v>63</v>
      </c>
      <c r="B39" s="65">
        <v>22</v>
      </c>
    </row>
    <row r="40" spans="1:2" x14ac:dyDescent="0.2">
      <c r="A40" s="66" t="s">
        <v>66</v>
      </c>
      <c r="B40" s="67">
        <v>50</v>
      </c>
    </row>
    <row r="41" spans="1:2" x14ac:dyDescent="0.2">
      <c r="A41" s="66" t="s">
        <v>68</v>
      </c>
      <c r="B41" s="68">
        <v>-28</v>
      </c>
    </row>
    <row r="42" spans="1:2" x14ac:dyDescent="0.2">
      <c r="A42" s="66" t="s">
        <v>71</v>
      </c>
      <c r="B42" s="72">
        <v>2.2727272727272729</v>
      </c>
    </row>
    <row r="43" spans="1:2" x14ac:dyDescent="0.2">
      <c r="A43" s="64" t="s">
        <v>90</v>
      </c>
      <c r="B43" s="65"/>
    </row>
    <row r="44" spans="1:2" x14ac:dyDescent="0.2">
      <c r="A44" s="66" t="s">
        <v>63</v>
      </c>
      <c r="B44" s="65">
        <v>22</v>
      </c>
    </row>
    <row r="45" spans="1:2" x14ac:dyDescent="0.2">
      <c r="A45" s="66" t="s">
        <v>66</v>
      </c>
      <c r="B45" s="67">
        <v>50</v>
      </c>
    </row>
    <row r="46" spans="1:2" x14ac:dyDescent="0.2">
      <c r="A46" s="66" t="s">
        <v>68</v>
      </c>
      <c r="B46" s="68">
        <v>-28</v>
      </c>
    </row>
    <row r="47" spans="1:2" x14ac:dyDescent="0.2">
      <c r="A47" s="66" t="s">
        <v>71</v>
      </c>
      <c r="B47" s="72">
        <v>2.2727272727272729</v>
      </c>
    </row>
    <row r="48" spans="1:2" x14ac:dyDescent="0.2">
      <c r="A48" s="64" t="s">
        <v>65</v>
      </c>
      <c r="B48" s="65">
        <v>190</v>
      </c>
    </row>
    <row r="49" spans="1:2" x14ac:dyDescent="0.2">
      <c r="A49" s="64" t="s">
        <v>67</v>
      </c>
      <c r="B49" s="67">
        <v>235</v>
      </c>
    </row>
    <row r="50" spans="1:2" x14ac:dyDescent="0.2">
      <c r="A50" s="64" t="s">
        <v>69</v>
      </c>
      <c r="B50" s="73">
        <v>-45</v>
      </c>
    </row>
    <row r="51" spans="1:2" x14ac:dyDescent="0.2">
      <c r="A51" s="64" t="s">
        <v>72</v>
      </c>
      <c r="B51" s="72">
        <v>1.236842105263158</v>
      </c>
    </row>
  </sheetData>
  <sheetProtection algorithmName="SHA-512" hashValue="93pUlgXLk1UXo2sdruibsZRINC4/jFj+Av5hQ0QI9XrzbqADkEOnfcF7kjEoN9NazR16Bc2i9eAkRTAYbJ27yg==" saltValue="Q/KLxvtcAqBGOk1tW3xh0g==" spinCount="100000" sheet="1" objects="1" scenarios="1"/>
  <conditionalFormatting pivot="1" sqref="B17 B22 B27 B32 B37 B42 B47 B51">
    <cfRule type="iconSet" priority="5">
      <iconSet>
        <cfvo type="percent" val="0"/>
        <cfvo type="num" val="1" gte="0"/>
        <cfvo type="num" val="1"/>
      </iconSet>
    </cfRule>
  </conditionalFormatting>
  <hyperlinks>
    <hyperlink ref="N1" r:id="rId2" xr:uid="{E4330895-F816-48EC-B21A-8BC02C5BAB03}"/>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59C28-21F8-40FE-B89B-2C8B2557C28C}">
  <sheetPr codeName="Hoja6">
    <tabColor theme="8" tint="0.79998168889431442"/>
  </sheetPr>
  <dimension ref="A1:P28"/>
  <sheetViews>
    <sheetView showGridLines="0" showRowColHeaders="0" zoomScale="80" zoomScaleNormal="80" workbookViewId="0">
      <selection activeCell="N26" sqref="N26"/>
    </sheetView>
  </sheetViews>
  <sheetFormatPr baseColWidth="10" defaultColWidth="0" defaultRowHeight="15" x14ac:dyDescent="0.25"/>
  <cols>
    <col min="1" max="16" width="10" style="111" customWidth="1"/>
    <col min="17" max="16384" width="10" style="111" hidden="1"/>
  </cols>
  <sheetData>
    <row r="1" spans="1:15" ht="51.75" customHeight="1" x14ac:dyDescent="0.25">
      <c r="A1" s="109"/>
      <c r="B1" s="110"/>
      <c r="C1" s="110"/>
      <c r="D1" s="110"/>
      <c r="E1" s="110"/>
      <c r="F1" s="110"/>
      <c r="G1" s="110"/>
      <c r="H1" s="110"/>
      <c r="I1" s="110"/>
      <c r="J1" s="110"/>
      <c r="K1" s="110"/>
      <c r="L1" s="110"/>
      <c r="M1" s="110"/>
      <c r="N1" s="110"/>
      <c r="O1" s="110"/>
    </row>
    <row r="5" spans="1:15" ht="9.75" customHeight="1" x14ac:dyDescent="0.25"/>
    <row r="21" spans="3:11" ht="11.1" customHeight="1" x14ac:dyDescent="0.25"/>
    <row r="22" spans="3:11" ht="38.25" customHeight="1" x14ac:dyDescent="0.25">
      <c r="C22" s="127" t="s">
        <v>82</v>
      </c>
      <c r="D22" s="127"/>
      <c r="E22" s="127"/>
    </row>
    <row r="23" spans="3:11" ht="12" customHeight="1" x14ac:dyDescent="0.25"/>
    <row r="24" spans="3:11" ht="33" customHeight="1" x14ac:dyDescent="0.25">
      <c r="C24" s="119">
        <v>1</v>
      </c>
      <c r="D24" s="120" t="s">
        <v>83</v>
      </c>
      <c r="E24" s="121"/>
      <c r="F24" s="121"/>
      <c r="G24" s="121"/>
      <c r="H24" s="121"/>
      <c r="I24" s="121"/>
      <c r="J24" s="128" t="s">
        <v>84</v>
      </c>
      <c r="K24" s="128"/>
    </row>
    <row r="25" spans="3:11" ht="8.25" customHeight="1" x14ac:dyDescent="0.25"/>
    <row r="26" spans="3:11" ht="33" customHeight="1" x14ac:dyDescent="0.25">
      <c r="C26" s="119">
        <v>2</v>
      </c>
      <c r="D26" s="120" t="s">
        <v>85</v>
      </c>
      <c r="E26" s="121"/>
      <c r="F26" s="121"/>
      <c r="G26" s="121"/>
      <c r="H26" s="121"/>
      <c r="I26" s="121"/>
      <c r="J26" s="128" t="s">
        <v>84</v>
      </c>
      <c r="K26" s="128"/>
    </row>
    <row r="27" spans="3:11" ht="8.25" customHeight="1" x14ac:dyDescent="0.25"/>
    <row r="28" spans="3:11" ht="33" customHeight="1" x14ac:dyDescent="0.25">
      <c r="C28" s="119">
        <v>3</v>
      </c>
      <c r="D28" s="120" t="s">
        <v>86</v>
      </c>
      <c r="E28" s="120"/>
      <c r="F28" s="120"/>
      <c r="G28" s="120"/>
      <c r="H28" s="120"/>
      <c r="I28" s="120"/>
      <c r="J28" s="128" t="s">
        <v>84</v>
      </c>
      <c r="K28" s="128"/>
    </row>
  </sheetData>
  <mergeCells count="4">
    <mergeCell ref="C22:E22"/>
    <mergeCell ref="J24:K24"/>
    <mergeCell ref="J26:K26"/>
    <mergeCell ref="J28:K28"/>
  </mergeCells>
  <hyperlinks>
    <hyperlink ref="J28:K28" r:id="rId1" display="Ver Más" xr:uid="{FFF2A51B-16B0-4E33-B8C3-5ADD434859B0}"/>
    <hyperlink ref="D28:I28" r:id="rId2" display="Plantilla" xr:uid="{89592AA4-9507-4B00-B73F-899D81AC6914}"/>
    <hyperlink ref="J26:K26" r:id="rId3" display="Ver Más" xr:uid="{3E11AB50-0D7C-474A-8370-4088DD17E43F}"/>
    <hyperlink ref="D26:I26" r:id="rId4" display="Plantilla Plan de viabilidad y Evaluación Proyectos" xr:uid="{E1065E6D-6058-49E7-9322-69AA98850C8E}"/>
    <hyperlink ref="D24:I24" r:id="rId5" display="Plantilla de Ausentismo Laboral y Bajas PREMIUM" xr:uid="{8DC1C540-5E70-4DDC-9C0F-6D3BE38C5F64}"/>
    <hyperlink ref="J24:K24" r:id="rId6" display="Ver Más" xr:uid="{8081618E-0EB3-4A0A-893C-BE56D05B865B}"/>
    <hyperlink ref="D26" r:id="rId7" xr:uid="{34A63685-F244-496F-AC54-05C68200DBE9}"/>
  </hyperlinks>
  <pageMargins left="0.7" right="0.7" top="0.75" bottom="0.75" header="0.3" footer="0.3"/>
  <pageSetup paperSize="9" orientation="portrait" r:id="rId8"/>
  <drawing r:id="rId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Hoja3</vt:lpstr>
      <vt:lpstr>- AYUDA -</vt:lpstr>
      <vt:lpstr>PARAMETROS</vt:lpstr>
      <vt:lpstr>LIQUIDACIÓN</vt:lpstr>
      <vt:lpstr>CALENDARIO</vt:lpstr>
      <vt:lpstr>DASHBOARD</vt:lpstr>
      <vt:lpstr>SUGERENCIAS</vt:lpstr>
      <vt:lpstr>enero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Jhony Escobar</dc:creator>
  <cp:lastModifiedBy>Jhony Escobar</cp:lastModifiedBy>
  <dcterms:created xsi:type="dcterms:W3CDTF">2021-10-03T20:32:39Z</dcterms:created>
  <dcterms:modified xsi:type="dcterms:W3CDTF">2021-10-12T14:34:38Z</dcterms:modified>
</cp:coreProperties>
</file>